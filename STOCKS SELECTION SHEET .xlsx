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NO_Liv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MONTH " sheetId="3" state="visible" r:id="rId3"/>
    <sheet xmlns:r="http://schemas.openxmlformats.org/officeDocument/2006/relationships" name="WEEK " sheetId="4" state="visible" r:id="rId4"/>
    <sheet xmlns:r="http://schemas.openxmlformats.org/officeDocument/2006/relationships" name="DAY " sheetId="5" state="visible" r:id="rId5"/>
    <sheet xmlns:r="http://schemas.openxmlformats.org/officeDocument/2006/relationships" name="1 HR." sheetId="6" state="visible" r:id="rId6"/>
    <sheet xmlns:r="http://schemas.openxmlformats.org/officeDocument/2006/relationships" name="Sheet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color theme="1"/>
      <sz val="11"/>
      <scheme val="minor"/>
    </font>
    <font>
      <name val="Arial"/>
      <b val="1"/>
      <color theme="1"/>
    </font>
    <font>
      <name val="Arial"/>
      <color theme="1"/>
    </font>
    <font>
      <name val="Calibri"/>
      <b val="1"/>
      <color theme="1"/>
    </font>
    <font>
      <name val="Calibri"/>
      <color rgb="FFFFFFFF"/>
    </font>
    <font>
      <name val="Calibri"/>
      <color rgb="FF000000"/>
      <sz val="11"/>
    </font>
    <font>
      <name val="Arial"/>
      <color rgb="FF0000FF"/>
      <sz val="11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pivotButton="0" quotePrefix="0" xfId="0"/>
    <xf numFmtId="0" fontId="5" fillId="0" borderId="0" applyAlignment="1" pivotButton="0" quotePrefix="0" xfId="0">
      <alignment vertical="center"/>
    </xf>
    <xf numFmtId="4" fontId="6" fillId="0" borderId="0" applyAlignment="1" pivotButton="0" quotePrefix="0" xfId="0">
      <alignment vertical="bottom"/>
    </xf>
    <xf numFmtId="4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7" fillId="0" borderId="0" pivotButton="0" quotePrefix="0" xfId="0"/>
    <xf numFmtId="10" fontId="7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>
        <name val="Arial"/>
        <color rgb="FF008000"/>
      </font>
      <fill>
        <patternFill/>
      </fill>
      <border/>
    </dxf>
    <dxf>
      <font>
        <name val="Arial"/>
        <color rgb="FFC00000"/>
      </font>
      <fill>
        <patternFill/>
      </fill>
      <border/>
    </dxf>
  </dxfs>
  <tableStyles count="1" defaultTableStyle="TableStyleMedium9" defaultPivotStyle="PivotStyleLight16">
    <tableStyle name="FNO_Liv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ID#AAACIXOaqng
Claude    (2026-10-09 08:23:18)
Edit column A only (blue). Use plain NSE symbols, no .NS or NSE: prefix. Add more symbols and drag formulas down.</t>
      </text>
    </comment>
  </commentList>
</comments>
</file>

<file path=xl/tables/table1.xml><?xml version="1.0" encoding="utf-8"?>
<table xmlns="http://schemas.openxmlformats.org/spreadsheetml/2006/main" id="1" name="Table1" displayName="Table1" ref="A1:Z214" headerRowCount="1">
  <tableColumns count="26">
    <tableColumn id="1" name="Symbol"/>
    <tableColumn id="2" name="SECTOR "/>
    <tableColumn id="3" name="CMP"/>
    <tableColumn id="4" name="OPEN"/>
    <tableColumn id="5" name="HIGH"/>
    <tableColumn id="6" name="LOW"/>
    <tableColumn id="7" name="CLOSE"/>
    <tableColumn id="8" name="PREV CLOSE"/>
    <tableColumn id="9" name="CHANGE"/>
    <tableColumn id="10" name="CHANGE%"/>
    <tableColumn id="11" name="MARKET CAP"/>
    <tableColumn id="12" name="WEIGHT IN SECTOR %"/>
    <tableColumn id="13" name="WEIGHT IN TOTAL %"/>
    <tableColumn id="14" name="BULLISH "/>
    <tableColumn id="15" name="BEARISH "/>
    <tableColumn id="16" name="RSI MONTH "/>
    <tableColumn id="17" name="M - DIVERGANCE"/>
    <tableColumn id="18" name="RSI WEEK "/>
    <tableColumn id="19" name="W - DIVERGANCE "/>
    <tableColumn id="20" name="RSI DAY "/>
    <tableColumn id="21" name="D - DIVERGANCE "/>
    <tableColumn id="22" name="RSI 1HR "/>
    <tableColumn id="23" name="1HR - DIVERGANCE "/>
    <tableColumn id="24" name="BUY PRICE "/>
    <tableColumn id="25" name="SELL PRICE "/>
    <tableColumn id="26" name="STOP LOSS "/>
  </tableColumns>
  <tableStyleInfo name="FNO_Liv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8.43" customWidth="1" style="23" min="1" max="1"/>
    <col width="34" customWidth="1" style="23" min="2" max="2"/>
    <col width="14" customWidth="1" style="23" min="3" max="3"/>
    <col width="15" customWidth="1" style="23" min="4" max="4"/>
    <col width="14.57" customWidth="1" style="23" min="5" max="5"/>
    <col width="14.14" customWidth="1" style="23" min="6" max="6"/>
    <col width="15.43" customWidth="1" style="23" min="7" max="7"/>
    <col width="20.43" customWidth="1" style="23" min="8" max="8"/>
    <col width="17.43" customWidth="1" style="23" min="9" max="9"/>
    <col width="19" customWidth="1" style="23" min="10" max="11"/>
    <col width="28.71" customWidth="1" style="23" min="12" max="12"/>
    <col width="14" customWidth="1" style="23" min="13" max="13"/>
    <col width="25" customWidth="1" style="23" min="14" max="14"/>
    <col width="14.29" customWidth="1" style="23" min="15" max="15"/>
    <col width="16.86" customWidth="1" style="23" min="16" max="16"/>
    <col width="74.29000000000001" customWidth="1" style="23" min="17" max="17"/>
    <col width="15" customWidth="1" style="23" min="18" max="18"/>
    <col width="18.14" customWidth="1" style="23" min="19" max="19"/>
    <col width="13.43" customWidth="1" style="23" min="20" max="20"/>
    <col width="18.14" customWidth="1" style="23" min="21" max="21"/>
    <col width="13.57" customWidth="1" style="23" min="22" max="22"/>
    <col width="18.14" customWidth="1" style="23" min="23" max="23"/>
    <col width="15.86" customWidth="1" style="23" min="24" max="24"/>
    <col width="16" customWidth="1" style="23" min="25" max="26"/>
    <col width="8.710000000000001" customWidth="1" style="23" min="27" max="33"/>
  </cols>
  <sheetData>
    <row r="1" ht="22.5" customHeight="1" s="23">
      <c r="A1" s="5" t="inlineStr">
        <is>
          <t>Symbol</t>
        </is>
      </c>
      <c r="B1" s="4" t="inlineStr">
        <is>
          <t xml:space="preserve">SECTOR </t>
        </is>
      </c>
      <c r="C1" s="5" t="inlineStr">
        <is>
          <t>CMP</t>
        </is>
      </c>
      <c r="D1" s="5" t="inlineStr">
        <is>
          <t>OPEN</t>
        </is>
      </c>
      <c r="E1" s="5" t="inlineStr">
        <is>
          <t>HIGH</t>
        </is>
      </c>
      <c r="F1" s="5" t="inlineStr">
        <is>
          <t>LOW</t>
        </is>
      </c>
      <c r="G1" s="5" t="inlineStr">
        <is>
          <t>CLOSE</t>
        </is>
      </c>
      <c r="H1" s="5" t="inlineStr">
        <is>
          <t>PREV CLOSE</t>
        </is>
      </c>
      <c r="I1" s="5" t="inlineStr">
        <is>
          <t>CHANGE</t>
        </is>
      </c>
      <c r="J1" s="5" t="inlineStr">
        <is>
          <t>CHANGE%</t>
        </is>
      </c>
      <c r="K1" s="6" t="inlineStr">
        <is>
          <t>MARKET CAP</t>
        </is>
      </c>
      <c r="L1" s="6" t="inlineStr">
        <is>
          <t>WEIGHT IN SECTOR %</t>
        </is>
      </c>
      <c r="M1" s="7" t="inlineStr">
        <is>
          <t>WEIGHT IN TOTAL %</t>
        </is>
      </c>
      <c r="N1" s="8" t="inlineStr">
        <is>
          <t xml:space="preserve">BULLISH </t>
        </is>
      </c>
      <c r="O1" s="8" t="inlineStr">
        <is>
          <t xml:space="preserve">BEARISH </t>
        </is>
      </c>
      <c r="P1" s="5" t="inlineStr">
        <is>
          <t xml:space="preserve">RSI MONTH </t>
        </is>
      </c>
      <c r="Q1" s="8" t="inlineStr">
        <is>
          <t>M - DIVERGANCE</t>
        </is>
      </c>
      <c r="R1" s="5" t="inlineStr">
        <is>
          <t xml:space="preserve">RSI WEEK </t>
        </is>
      </c>
      <c r="S1" s="8" t="inlineStr">
        <is>
          <t xml:space="preserve">W - DIVERGANCE </t>
        </is>
      </c>
      <c r="T1" s="5" t="inlineStr">
        <is>
          <t xml:space="preserve">RSI DAY </t>
        </is>
      </c>
      <c r="U1" s="8" t="inlineStr">
        <is>
          <t xml:space="preserve">D - DIVERGANCE </t>
        </is>
      </c>
      <c r="V1" s="8" t="inlineStr">
        <is>
          <t xml:space="preserve">RSI 1HR </t>
        </is>
      </c>
      <c r="W1" s="8" t="inlineStr">
        <is>
          <t xml:space="preserve">1HR - DIVERGANCE </t>
        </is>
      </c>
      <c r="X1" s="8" t="inlineStr">
        <is>
          <t xml:space="preserve">BUY PRICE </t>
        </is>
      </c>
      <c r="Y1" s="8" t="inlineStr">
        <is>
          <t xml:space="preserve">SELL PRICE </t>
        </is>
      </c>
      <c r="Z1" s="8" t="inlineStr">
        <is>
          <t xml:space="preserve">STOP LOSS </t>
        </is>
      </c>
      <c r="AA1" s="9" t="n"/>
      <c r="AB1" s="9" t="n"/>
      <c r="AC1" s="9" t="n"/>
      <c r="AD1" s="9" t="n"/>
      <c r="AE1" s="9" t="n"/>
      <c r="AF1" s="9" t="n"/>
      <c r="AG1" s="9" t="n"/>
    </row>
    <row r="2" ht="22.5" customHeight="1" s="23">
      <c r="A2" s="10" t="inlineStr">
        <is>
          <t>ASHOKLEY</t>
        </is>
      </c>
      <c r="B2" s="11" t="inlineStr">
        <is>
          <t>Auto</t>
        </is>
      </c>
      <c r="C2" s="12">
        <f>IFERROR(__xludf.DUMMYFUNCTION("GOOGLEFINANCE(""NSE:""&amp;$A2,""price"")"),147.37)</f>
        <v/>
      </c>
      <c r="D2" s="12">
        <f>IFERROR(__xludf.DUMMYFUNCTION("GOOGLEFINANCE(""NSE:""&amp;$A2,""priceopen"")"),144.99)</f>
        <v/>
      </c>
      <c r="E2" s="12">
        <f>IFERROR(__xludf.DUMMYFUNCTION("GOOGLEFINANCE(""NSE:""&amp;$A2,""high"")"),147.37)</f>
        <v/>
      </c>
      <c r="F2" s="12">
        <f>IFERROR(__xludf.DUMMYFUNCTION("GOOGLEFINANCE(""NSE:""&amp;$A2,""low"")"),143.5)</f>
        <v/>
      </c>
      <c r="G2" s="12">
        <f>IFERROR(__xludf.DUMMYFUNCTION("IFERROR(INDEX(GOOGLEFINANCE(""NSE:""&amp;$A2,""close"",TODAY()),2,2),C2)"),147.37)</f>
        <v/>
      </c>
      <c r="H2" s="12">
        <f>IFERROR(__xludf.DUMMYFUNCTION("GOOGLEFINANCE(""NSE:""&amp;$A2,""closeyest"")"),144.25)</f>
        <v/>
      </c>
      <c r="I2" s="12">
        <f>IFERROR(C2-H2,"")</f>
        <v/>
      </c>
      <c r="J2" s="13">
        <f>IFERROR((C2-H2)/H2,"")</f>
        <v/>
      </c>
      <c r="K2" s="17">
        <f>IFERROR(__xludf.DUMMYFUNCTION("IFERROR(GOOGLEFINANCE(""NSE:""&amp;$A2,""marketcap""),"""")"),8.65392037796E11)</f>
        <v/>
      </c>
      <c r="L2" s="15">
        <f>IFERROR(K2/SUMIF($B$2:$B$214,B2,$K$2:$K$214),"")</f>
        <v/>
      </c>
      <c r="M2" s="16">
        <f>IFERROR(K2/SUM($K$2:$K$214),"")</f>
        <v/>
      </c>
      <c r="N2" t="n">
        <v>0</v>
      </c>
      <c r="O2" s="17" t="n">
        <v>2</v>
      </c>
      <c r="P2" s="19" t="n">
        <v>55.01</v>
      </c>
      <c r="Q2" s="17" t="inlineStr">
        <is>
          <t>3 DRIVE N-DIV</t>
        </is>
      </c>
      <c r="R2" s="19" t="n">
        <v>41.52</v>
      </c>
      <c r="S2" s="17" t="inlineStr">
        <is>
          <t>NEUTRAL</t>
        </is>
      </c>
      <c r="T2" s="19" t="n">
        <v>24.95</v>
      </c>
      <c r="U2" s="17" t="inlineStr">
        <is>
          <t xml:space="preserve">NO POSITIVE DIV </t>
        </is>
      </c>
      <c r="V2" t="n">
        <v>53.84</v>
      </c>
    </row>
    <row r="3" ht="22.5" customHeight="1" s="23">
      <c r="A3" s="10" t="inlineStr">
        <is>
          <t>ATHERENERG</t>
        </is>
      </c>
      <c r="B3" s="11" t="inlineStr">
        <is>
          <t>Auto</t>
        </is>
      </c>
      <c r="C3" s="12">
        <f>IFERROR(__xludf.DUMMYFUNCTION("GOOGLEFINANCE(""NSE:""&amp;$A3,""price"")"),1494.9)</f>
        <v/>
      </c>
      <c r="D3" s="12">
        <f>IFERROR(__xludf.DUMMYFUNCTION("GOOGLEFINANCE(""NSE:""&amp;$A3,""priceopen"")"),1480.0)</f>
        <v/>
      </c>
      <c r="E3" s="12">
        <f>IFERROR(__xludf.DUMMYFUNCTION("GOOGLEFINANCE(""NSE:""&amp;$A3,""high"")"),1499.0)</f>
        <v/>
      </c>
      <c r="F3" s="12">
        <f>IFERROR(__xludf.DUMMYFUNCTION("GOOGLEFINANCE(""NSE:""&amp;$A3,""low"")"),1465.4)</f>
        <v/>
      </c>
      <c r="G3" s="12">
        <f>IFERROR(__xludf.DUMMYFUNCTION("IFERROR(INDEX(GOOGLEFINANCE(""NSE:""&amp;$A3,""close"",TODAY()),2,2),C3)"),1494.9)</f>
        <v/>
      </c>
      <c r="H3" s="12">
        <f>IFERROR(__xludf.DUMMYFUNCTION("GOOGLEFINANCE(""NSE:""&amp;$A3,""closeyest"")"),1511.0)</f>
        <v/>
      </c>
      <c r="I3" s="12">
        <f>IFERROR(C3-H3,"")</f>
        <v/>
      </c>
      <c r="J3" s="13">
        <f>IFERROR((C3-H3)/H3,"")</f>
        <v/>
      </c>
      <c r="K3" s="17">
        <f>IFERROR(__xludf.DUMMYFUNCTION("IFERROR(GOOGLEFINANCE(""NSE:""&amp;$A3,""marketcap""),"""")"),5.94196951E11)</f>
        <v/>
      </c>
      <c r="L3" s="15">
        <f>IFERROR(K3/SUMIF($B$2:$B$214,B3,$K$2:$K$214),"")</f>
        <v/>
      </c>
      <c r="M3" s="16">
        <f>IFERROR(K3/SUM($K$2:$K$214),"")</f>
        <v/>
      </c>
      <c r="N3" t="n">
        <v>0</v>
      </c>
      <c r="O3" t="n">
        <v>0</v>
      </c>
      <c r="P3" s="19" t="n"/>
      <c r="R3" s="19" t="n"/>
      <c r="S3" t="inlineStr">
        <is>
          <t>NEUTRAL</t>
        </is>
      </c>
      <c r="T3" s="19" t="n"/>
    </row>
    <row r="4" ht="22.5" customHeight="1" s="23">
      <c r="A4" s="10" t="inlineStr">
        <is>
          <t>BAJAJ-AUTO</t>
        </is>
      </c>
      <c r="B4" s="11" t="inlineStr">
        <is>
          <t>Auto</t>
        </is>
      </c>
      <c r="C4" s="12">
        <f>IFERROR(__xludf.DUMMYFUNCTION("GOOGLEFINANCE(""NSE:""&amp;$A4,""price"")"),10318.0)</f>
        <v/>
      </c>
      <c r="D4" s="12">
        <f>IFERROR(__xludf.DUMMYFUNCTION("GOOGLEFINANCE(""NSE:""&amp;$A4,""priceopen"")"),10052.0)</f>
        <v/>
      </c>
      <c r="E4" s="12">
        <f>IFERROR(__xludf.DUMMYFUNCTION("GOOGLEFINANCE(""NSE:""&amp;$A4,""high"")"),10370.0)</f>
        <v/>
      </c>
      <c r="F4" s="12">
        <f>IFERROR(__xludf.DUMMYFUNCTION("GOOGLEFINANCE(""NSE:""&amp;$A4,""low"")"),9973.0)</f>
        <v/>
      </c>
      <c r="G4" s="12">
        <f>IFERROR(__xludf.DUMMYFUNCTION("IFERROR(INDEX(GOOGLEFINANCE(""NSE:""&amp;$A4,""close"",TODAY()),2,2),C4)"),10318.0)</f>
        <v/>
      </c>
      <c r="H4" s="12">
        <f>IFERROR(__xludf.DUMMYFUNCTION("GOOGLEFINANCE(""NSE:""&amp;$A4,""closeyest"")"),10034.0)</f>
        <v/>
      </c>
      <c r="I4" s="12">
        <f>IFERROR(C4-H4,"")</f>
        <v/>
      </c>
      <c r="J4" s="13">
        <f>IFERROR((C4-H4)/H4,"")</f>
        <v/>
      </c>
      <c r="K4" s="17">
        <f>IFERROR(__xludf.DUMMYFUNCTION("IFERROR(GOOGLEFINANCE(""NSE:""&amp;$A4,""marketcap""),"""")"),2.861752398344E12)</f>
        <v/>
      </c>
      <c r="L4" s="15">
        <f>IFERROR(K4/SUMIF($B$2:$B$214,B4,$K$2:$K$214),"")</f>
        <v/>
      </c>
      <c r="M4" s="16">
        <f>IFERROR(K4/SUM($K$2:$K$214),"")</f>
        <v/>
      </c>
      <c r="N4" t="n">
        <v>1</v>
      </c>
      <c r="O4" t="n">
        <v>1</v>
      </c>
      <c r="P4" s="19" t="n">
        <v>59.31</v>
      </c>
      <c r="R4" s="19" t="n">
        <v>51.07</v>
      </c>
      <c r="S4" t="inlineStr">
        <is>
          <t>NEUTRAL</t>
        </is>
      </c>
      <c r="T4" s="19" t="n">
        <v>29.35</v>
      </c>
      <c r="V4" t="n">
        <v>72.22</v>
      </c>
    </row>
    <row r="5" ht="22.5" customHeight="1" s="23">
      <c r="A5" s="10" t="inlineStr">
        <is>
          <t>EICHERMOT</t>
        </is>
      </c>
      <c r="B5" s="11" t="inlineStr">
        <is>
          <t>Auto</t>
        </is>
      </c>
      <c r="C5" s="12">
        <f>IFERROR(__xludf.DUMMYFUNCTION("GOOGLEFINANCE(""NSE:""&amp;$A5,""price"")"),7163.0)</f>
        <v/>
      </c>
      <c r="D5" s="12">
        <f>IFERROR(__xludf.DUMMYFUNCTION("GOOGLEFINANCE(""NSE:""&amp;$A5,""priceopen"")"),7098.0)</f>
        <v/>
      </c>
      <c r="E5" s="12">
        <f>IFERROR(__xludf.DUMMYFUNCTION("GOOGLEFINANCE(""NSE:""&amp;$A5,""high"")"),7170.5)</f>
        <v/>
      </c>
      <c r="F5" s="12">
        <f>IFERROR(__xludf.DUMMYFUNCTION("GOOGLEFINANCE(""NSE:""&amp;$A5,""low"")"),7031.0)</f>
        <v/>
      </c>
      <c r="G5" s="12">
        <f>IFERROR(__xludf.DUMMYFUNCTION("IFERROR(INDEX(GOOGLEFINANCE(""NSE:""&amp;$A5,""close"",TODAY()),2,2),C5)"),7163.0)</f>
        <v/>
      </c>
      <c r="H5" s="12">
        <f>IFERROR(__xludf.DUMMYFUNCTION("GOOGLEFINANCE(""NSE:""&amp;$A5,""closeyest"")"),7119.0)</f>
        <v/>
      </c>
      <c r="I5" s="12">
        <f>IFERROR(C5-H5,"")</f>
        <v/>
      </c>
      <c r="J5" s="13">
        <f>IFERROR((C5-H5)/H5,"")</f>
        <v/>
      </c>
      <c r="K5" s="17">
        <f>IFERROR(__xludf.DUMMYFUNCTION("IFERROR(GOOGLEFINANCE(""NSE:""&amp;$A5,""marketcap""),"""")"),1.962379980833E12)</f>
        <v/>
      </c>
      <c r="L5" s="15">
        <f>IFERROR(K5/SUMIF($B$2:$B$214,B5,$K$2:$K$214),"")</f>
        <v/>
      </c>
      <c r="M5" s="16">
        <f>IFERROR(K5/SUM($K$2:$K$214),"")</f>
        <v/>
      </c>
      <c r="N5" t="n">
        <v>2</v>
      </c>
      <c r="O5" t="n">
        <v>1</v>
      </c>
      <c r="P5" s="19" t="n">
        <v>58.43</v>
      </c>
      <c r="R5" s="19" t="n">
        <v>45.27</v>
      </c>
      <c r="S5" t="inlineStr">
        <is>
          <t>NEUTRAL</t>
        </is>
      </c>
      <c r="T5" s="19" t="n">
        <v>36.94</v>
      </c>
      <c r="V5" t="n">
        <v>39.23</v>
      </c>
    </row>
    <row r="6" ht="22.5" customHeight="1" s="23">
      <c r="A6" s="10" t="inlineStr">
        <is>
          <t>FORCEMOT</t>
        </is>
      </c>
      <c r="B6" s="11" t="inlineStr">
        <is>
          <t>Auto</t>
        </is>
      </c>
      <c r="C6" s="12">
        <f>IFERROR(__xludf.DUMMYFUNCTION("GOOGLEFINANCE(""NSE:""&amp;$A6,""price"")"),17170.0)</f>
        <v/>
      </c>
      <c r="D6" s="12">
        <f>IFERROR(__xludf.DUMMYFUNCTION("GOOGLEFINANCE(""NSE:""&amp;$A6,""priceopen"")"),17180.0)</f>
        <v/>
      </c>
      <c r="E6" s="12">
        <f>IFERROR(__xludf.DUMMYFUNCTION("GOOGLEFINANCE(""NSE:""&amp;$A6,""high"")"),17180.0)</f>
        <v/>
      </c>
      <c r="F6" s="12">
        <f>IFERROR(__xludf.DUMMYFUNCTION("GOOGLEFINANCE(""NSE:""&amp;$A6,""low"")"),16856.0)</f>
        <v/>
      </c>
      <c r="G6" s="12">
        <f>IFERROR(__xludf.DUMMYFUNCTION("IFERROR(INDEX(GOOGLEFINANCE(""NSE:""&amp;$A6,""close"",TODAY()),2,2),C6)"),17170.0)</f>
        <v/>
      </c>
      <c r="H6" s="12">
        <f>IFERROR(__xludf.DUMMYFUNCTION("GOOGLEFINANCE(""NSE:""&amp;$A6,""closeyest"")"),17010.0)</f>
        <v/>
      </c>
      <c r="I6" s="12">
        <f>IFERROR(C6-H6,"")</f>
        <v/>
      </c>
      <c r="J6" s="13">
        <f>IFERROR((C6-H6)/H6,"")</f>
        <v/>
      </c>
      <c r="K6" s="17">
        <f>IFERROR(__xludf.DUMMYFUNCTION("IFERROR(GOOGLEFINANCE(""NSE:""&amp;$A6,""marketcap""),"""")"),2.264147472E11)</f>
        <v/>
      </c>
      <c r="L6" s="15">
        <f>IFERROR(K6/SUMIF($B$2:$B$214,B6,$K$2:$K$214),"")</f>
        <v/>
      </c>
      <c r="M6" s="16">
        <f>IFERROR(K6/SUM($K$2:$K$214),"")</f>
        <v/>
      </c>
      <c r="N6" t="n">
        <v>2</v>
      </c>
      <c r="O6" t="n">
        <v>1</v>
      </c>
      <c r="P6" s="19" t="n">
        <v>45.05</v>
      </c>
      <c r="R6" s="19" t="n">
        <v>40.49</v>
      </c>
      <c r="S6" t="inlineStr">
        <is>
          <t>NEUTRAL</t>
        </is>
      </c>
      <c r="T6" s="19" t="n">
        <v>48.6</v>
      </c>
      <c r="V6" t="n">
        <v>73.81</v>
      </c>
    </row>
    <row r="7" ht="22.5" customHeight="1" s="23">
      <c r="A7" s="10" t="inlineStr">
        <is>
          <t>HEROMOTOCO</t>
        </is>
      </c>
      <c r="B7" s="11" t="inlineStr">
        <is>
          <t>Auto</t>
        </is>
      </c>
      <c r="C7" s="12">
        <f>IFERROR(__xludf.DUMMYFUNCTION("GOOGLEFINANCE(""NSE:""&amp;$A7,""price"")"),4997.5)</f>
        <v/>
      </c>
      <c r="D7" s="12">
        <f>IFERROR(__xludf.DUMMYFUNCTION("GOOGLEFINANCE(""NSE:""&amp;$A7,""priceopen"")"),4911.0)</f>
        <v/>
      </c>
      <c r="E7" s="12">
        <f>IFERROR(__xludf.DUMMYFUNCTION("GOOGLEFINANCE(""NSE:""&amp;$A7,""high"")"),4997.5)</f>
        <v/>
      </c>
      <c r="F7" s="12">
        <f>IFERROR(__xludf.DUMMYFUNCTION("GOOGLEFINANCE(""NSE:""&amp;$A7,""low"")"),4887.0)</f>
        <v/>
      </c>
      <c r="G7" s="12">
        <f>IFERROR(__xludf.DUMMYFUNCTION("IFERROR(INDEX(GOOGLEFINANCE(""NSE:""&amp;$A7,""close"",TODAY()),2,2),C7)"),4997.5)</f>
        <v/>
      </c>
      <c r="H7" s="12">
        <f>IFERROR(__xludf.DUMMYFUNCTION("GOOGLEFINANCE(""NSE:""&amp;$A7,""closeyest"")"),4937.0)</f>
        <v/>
      </c>
      <c r="I7" s="12">
        <f>IFERROR(C7-H7,"")</f>
        <v/>
      </c>
      <c r="J7" s="13">
        <f>IFERROR((C7-H7)/H7,"")</f>
        <v/>
      </c>
      <c r="K7" s="17">
        <f>IFERROR(__xludf.DUMMYFUNCTION("IFERROR(GOOGLEFINANCE(""NSE:""&amp;$A7,""marketcap""),"""")"),1.000455441098E12)</f>
        <v/>
      </c>
      <c r="L7" s="15">
        <f>IFERROR(K7/SUMIF($B$2:$B$214,B7,$K$2:$K$214),"")</f>
        <v/>
      </c>
      <c r="M7" s="16">
        <f>IFERROR(K7/SUM($K$2:$K$214),"")</f>
        <v/>
      </c>
      <c r="N7" t="n">
        <v>3</v>
      </c>
      <c r="O7" t="n">
        <v>1</v>
      </c>
      <c r="P7" s="19" t="n">
        <v>51.24</v>
      </c>
      <c r="R7" s="19" t="n">
        <v>53.11</v>
      </c>
      <c r="S7" t="inlineStr">
        <is>
          <t>NEUTRAL</t>
        </is>
      </c>
      <c r="T7" s="19" t="n">
        <v>30.38</v>
      </c>
      <c r="V7" t="n">
        <v>68.37</v>
      </c>
    </row>
    <row r="8" ht="22.5" customHeight="1" s="23">
      <c r="A8" s="10" t="inlineStr">
        <is>
          <t>HYUNDAI</t>
        </is>
      </c>
      <c r="B8" s="11" t="inlineStr">
        <is>
          <t>Auto</t>
        </is>
      </c>
      <c r="C8" s="12">
        <f>IFERROR(__xludf.DUMMYFUNCTION("GOOGLEFINANCE(""NSE:""&amp;$A8,""price"")"),1964.9)</f>
        <v/>
      </c>
      <c r="D8" s="12">
        <f>IFERROR(__xludf.DUMMYFUNCTION("GOOGLEFINANCE(""NSE:""&amp;$A8,""priceopen"")"),1941.0)</f>
        <v/>
      </c>
      <c r="E8" s="12">
        <f>IFERROR(__xludf.DUMMYFUNCTION("GOOGLEFINANCE(""NSE:""&amp;$A8,""high"")"),2022.2)</f>
        <v/>
      </c>
      <c r="F8" s="12">
        <f>IFERROR(__xludf.DUMMYFUNCTION("GOOGLEFINANCE(""NSE:""&amp;$A8,""low"")"),1923.4)</f>
        <v/>
      </c>
      <c r="G8" s="12">
        <f>IFERROR(__xludf.DUMMYFUNCTION("IFERROR(INDEX(GOOGLEFINANCE(""NSE:""&amp;$A8,""close"",TODAY()),2,2),C8)"),1964.9)</f>
        <v/>
      </c>
      <c r="H8" s="12">
        <f>IFERROR(__xludf.DUMMYFUNCTION("GOOGLEFINANCE(""NSE:""&amp;$A8,""closeyest"")"),1941.1)</f>
        <v/>
      </c>
      <c r="I8" s="12">
        <f>IFERROR(C8-H8,"")</f>
        <v/>
      </c>
      <c r="J8" s="13">
        <f>IFERROR((C8-H8)/H8,"")</f>
        <v/>
      </c>
      <c r="K8" s="17">
        <f>IFERROR(__xludf.DUMMYFUNCTION("IFERROR(GOOGLEFINANCE(""NSE:""&amp;$A8,""marketcap""),"""")"),1.596562420207E12)</f>
        <v/>
      </c>
      <c r="L8" s="15">
        <f>IFERROR(K8/SUMIF($B$2:$B$214,B8,$K$2:$K$214),"")</f>
        <v/>
      </c>
      <c r="M8" s="16">
        <f>IFERROR(K8/SUM($K$2:$K$214),"")</f>
        <v/>
      </c>
      <c r="N8" t="n">
        <v>0</v>
      </c>
      <c r="O8" t="n">
        <v>1</v>
      </c>
      <c r="P8" s="19" t="n">
        <v>35.64</v>
      </c>
      <c r="R8" s="19" t="n">
        <v>49.97</v>
      </c>
      <c r="S8" t="inlineStr">
        <is>
          <t>NEUTRAL</t>
        </is>
      </c>
      <c r="T8" s="19" t="n">
        <v>35.23</v>
      </c>
      <c r="V8" t="n">
        <v>57.16</v>
      </c>
    </row>
    <row r="9" ht="22.5" customHeight="1" s="23">
      <c r="A9" s="10" t="inlineStr">
        <is>
          <t>M&amp;M</t>
        </is>
      </c>
      <c r="B9" s="11" t="inlineStr">
        <is>
          <t>Auto</t>
        </is>
      </c>
      <c r="C9" s="12">
        <f>IFERROR(__xludf.DUMMYFUNCTION("GOOGLEFINANCE(""NSE:""&amp;$A9,""price"")"),2864.4)</f>
        <v/>
      </c>
      <c r="D9" s="12">
        <f>IFERROR(__xludf.DUMMYFUNCTION("GOOGLEFINANCE(""NSE:""&amp;$A9,""priceopen"")"),2801.9)</f>
        <v/>
      </c>
      <c r="E9" s="12">
        <f>IFERROR(__xludf.DUMMYFUNCTION("GOOGLEFINANCE(""NSE:""&amp;$A9,""high"")"),2864.4)</f>
        <v/>
      </c>
      <c r="F9" s="12">
        <f>IFERROR(__xludf.DUMMYFUNCTION("GOOGLEFINANCE(""NSE:""&amp;$A9,""low"")"),2783.5)</f>
        <v/>
      </c>
      <c r="G9" s="12">
        <f>IFERROR(__xludf.DUMMYFUNCTION("IFERROR(INDEX(GOOGLEFINANCE(""NSE:""&amp;$A9,""close"",TODAY()),2,2),C9)"),2864.4)</f>
        <v/>
      </c>
      <c r="H9" s="12">
        <f>IFERROR(__xludf.DUMMYFUNCTION("GOOGLEFINANCE(""NSE:""&amp;$A9,""closeyest"")"),2813.0)</f>
        <v/>
      </c>
      <c r="I9" s="12">
        <f>IFERROR(C9-H9,"")</f>
        <v/>
      </c>
      <c r="J9" s="13">
        <f>IFERROR((C9-H9)/H9,"")</f>
        <v/>
      </c>
      <c r="K9" s="17">
        <f>IFERROR(__xludf.DUMMYFUNCTION("IFERROR(GOOGLEFINANCE(""NSE:""&amp;$A9,""marketcap""),"""")"),3.432281783E12)</f>
        <v/>
      </c>
      <c r="L9" s="15">
        <f>IFERROR(K9/SUMIF($B$2:$B$214,B9,$K$2:$K$214),"")</f>
        <v/>
      </c>
      <c r="M9" s="16">
        <f>IFERROR(K9/SUM($K$2:$K$214),"")</f>
        <v/>
      </c>
      <c r="N9" t="n">
        <v>2</v>
      </c>
      <c r="O9" t="n">
        <v>3</v>
      </c>
      <c r="P9" s="19" t="n">
        <v>42.63</v>
      </c>
      <c r="R9" s="19" t="n">
        <v>34.97</v>
      </c>
      <c r="S9" t="inlineStr">
        <is>
          <t>NEUTRAL</t>
        </is>
      </c>
      <c r="T9" s="19" t="n">
        <v>29.08</v>
      </c>
      <c r="V9" t="n">
        <v>47.79</v>
      </c>
    </row>
    <row r="10" ht="22.5" customHeight="1" s="23">
      <c r="A10" s="10" t="inlineStr">
        <is>
          <t>MARUTI</t>
        </is>
      </c>
      <c r="B10" s="11" t="inlineStr">
        <is>
          <t>Auto</t>
        </is>
      </c>
      <c r="C10" s="12">
        <f>IFERROR(__xludf.DUMMYFUNCTION("GOOGLEFINANCE(""NSE:""&amp;$A10,""price"")"),11245.0)</f>
        <v/>
      </c>
      <c r="D10" s="12">
        <f>IFERROR(__xludf.DUMMYFUNCTION("GOOGLEFINANCE(""NSE:""&amp;$A10,""priceopen"")"),11315.0)</f>
        <v/>
      </c>
      <c r="E10" s="12">
        <f>IFERROR(__xludf.DUMMYFUNCTION("GOOGLEFINANCE(""NSE:""&amp;$A10,""high"")"),11349.0)</f>
        <v/>
      </c>
      <c r="F10" s="12">
        <f>IFERROR(__xludf.DUMMYFUNCTION("GOOGLEFINANCE(""NSE:""&amp;$A10,""low"")"),11125.0)</f>
        <v/>
      </c>
      <c r="G10" s="12">
        <f>IFERROR(__xludf.DUMMYFUNCTION("IFERROR(INDEX(GOOGLEFINANCE(""NSE:""&amp;$A10,""close"",TODAY()),2,2),C10)"),11245.0)</f>
        <v/>
      </c>
      <c r="H10" s="12">
        <f>IFERROR(__xludf.DUMMYFUNCTION("GOOGLEFINANCE(""NSE:""&amp;$A10,""closeyest"")"),11315.0)</f>
        <v/>
      </c>
      <c r="I10" s="12">
        <f>IFERROR(C10-H10,"")</f>
        <v/>
      </c>
      <c r="J10" s="13">
        <f>IFERROR((C10-H10)/H10,"")</f>
        <v/>
      </c>
      <c r="K10" s="17">
        <f>IFERROR(__xludf.DUMMYFUNCTION("IFERROR(GOOGLEFINANCE(""NSE:""&amp;$A10,""marketcap""),"""")"),3.538985251377E12)</f>
        <v/>
      </c>
      <c r="L10" s="15">
        <f>IFERROR(K10/SUMIF($B$2:$B$214,B10,$K$2:$K$214),"")</f>
        <v/>
      </c>
      <c r="M10" s="16">
        <f>IFERROR(K10/SUM($K$2:$K$214),"")</f>
        <v/>
      </c>
      <c r="N10" t="n">
        <v>0</v>
      </c>
      <c r="O10" t="n">
        <v>3</v>
      </c>
      <c r="P10" s="19" t="n">
        <v>36.14</v>
      </c>
      <c r="R10" s="19" t="n">
        <v>19.6</v>
      </c>
      <c r="S10" t="inlineStr">
        <is>
          <t>NEUTRAL</t>
        </is>
      </c>
      <c r="T10" s="19" t="n">
        <v>26.56</v>
      </c>
      <c r="V10" t="n">
        <v>39.9</v>
      </c>
    </row>
    <row r="11" ht="22.5" customHeight="1" s="23">
      <c r="A11" s="10" t="inlineStr">
        <is>
          <t>TMPV</t>
        </is>
      </c>
      <c r="B11" s="11" t="inlineStr">
        <is>
          <t>Auto</t>
        </is>
      </c>
      <c r="C11" s="12">
        <f>IFERROR(__xludf.DUMMYFUNCTION("GOOGLEFINANCE(""NSE:""&amp;$A11,""price"")"),285.85)</f>
        <v/>
      </c>
      <c r="D11" s="12">
        <f>IFERROR(__xludf.DUMMYFUNCTION("GOOGLEFINANCE(""NSE:""&amp;$A11,""priceopen"")"),284.3)</f>
        <v/>
      </c>
      <c r="E11" s="12">
        <f>IFERROR(__xludf.DUMMYFUNCTION("GOOGLEFINANCE(""NSE:""&amp;$A11,""high"")"),286.4)</f>
        <v/>
      </c>
      <c r="F11" s="12">
        <f>IFERROR(__xludf.DUMMYFUNCTION("GOOGLEFINANCE(""NSE:""&amp;$A11,""low"")"),281.35)</f>
        <v/>
      </c>
      <c r="G11" s="12">
        <f>IFERROR(__xludf.DUMMYFUNCTION("IFERROR(INDEX(GOOGLEFINANCE(""NSE:""&amp;$A11,""close"",TODAY()),2,2),C11)"),285.85)</f>
        <v/>
      </c>
      <c r="H11" s="12">
        <f>IFERROR(__xludf.DUMMYFUNCTION("GOOGLEFINANCE(""NSE:""&amp;$A11,""closeyest"")"),284.45)</f>
        <v/>
      </c>
      <c r="I11" s="12">
        <f>IFERROR(C11-H11,"")</f>
        <v/>
      </c>
      <c r="J11" s="13">
        <f>IFERROR((C11-H11)/H11,"")</f>
        <v/>
      </c>
      <c r="K11" s="17">
        <f>IFERROR(__xludf.DUMMYFUNCTION("IFERROR(GOOGLEFINANCE(""NSE:""&amp;$A11,""marketcap""),"""")"),1.533464450052E12)</f>
        <v/>
      </c>
      <c r="L11" s="15">
        <f>IFERROR(K11/SUMIF($B$2:$B$214,B11,$K$2:$K$214),"")</f>
        <v/>
      </c>
      <c r="M11" s="16">
        <f>IFERROR(K11/SUM($K$2:$K$214),"")</f>
        <v/>
      </c>
      <c r="N11" t="n">
        <v>0</v>
      </c>
      <c r="O11" t="n">
        <v>2</v>
      </c>
      <c r="P11" s="19" t="n">
        <v>22.16</v>
      </c>
      <c r="R11" s="19" t="n">
        <v>27.01</v>
      </c>
      <c r="S11" t="inlineStr">
        <is>
          <t>NEUTRAL</t>
        </is>
      </c>
      <c r="T11" s="19" t="n">
        <v>37.35</v>
      </c>
      <c r="V11" t="n">
        <v>46.89</v>
      </c>
    </row>
    <row r="12" ht="22.5" customHeight="1" s="23">
      <c r="A12" s="10" t="inlineStr">
        <is>
          <t>TVSMOTOR</t>
        </is>
      </c>
      <c r="B12" s="11" t="inlineStr">
        <is>
          <t>Auto</t>
        </is>
      </c>
      <c r="C12" s="12">
        <f>IFERROR(__xludf.DUMMYFUNCTION("GOOGLEFINANCE(""NSE:""&amp;$A12,""price"")"),4011.5)</f>
        <v/>
      </c>
      <c r="D12" s="12">
        <f>IFERROR(__xludf.DUMMYFUNCTION("GOOGLEFINANCE(""NSE:""&amp;$A12,""priceopen"")"),3875.0)</f>
        <v/>
      </c>
      <c r="E12" s="12">
        <f>IFERROR(__xludf.DUMMYFUNCTION("GOOGLEFINANCE(""NSE:""&amp;$A12,""high"")"),4012.7)</f>
        <v/>
      </c>
      <c r="F12" s="12">
        <f>IFERROR(__xludf.DUMMYFUNCTION("GOOGLEFINANCE(""NSE:""&amp;$A12,""low"")"),3821.2)</f>
        <v/>
      </c>
      <c r="G12" s="12">
        <f>IFERROR(__xludf.DUMMYFUNCTION("IFERROR(INDEX(GOOGLEFINANCE(""NSE:""&amp;$A12,""close"",TODAY()),2,2),C12)"),4011.5)</f>
        <v/>
      </c>
      <c r="H12" s="12">
        <f>IFERROR(__xludf.DUMMYFUNCTION("GOOGLEFINANCE(""NSE:""&amp;$A12,""closeyest"")"),3940.3)</f>
        <v/>
      </c>
      <c r="I12" s="12">
        <f>IFERROR(C12-H12,"")</f>
        <v/>
      </c>
      <c r="J12" s="13">
        <f>IFERROR((C12-H12)/H12,"")</f>
        <v/>
      </c>
      <c r="K12" s="17">
        <f>IFERROR(__xludf.DUMMYFUNCTION("IFERROR(GOOGLEFINANCE(""NSE:""&amp;$A12,""marketcap""),"""")"),1.904746569737E12)</f>
        <v/>
      </c>
      <c r="L12" s="15">
        <f>IFERROR(K12/SUMIF($B$2:$B$214,B12,$K$2:$K$214),"")</f>
        <v/>
      </c>
      <c r="M12" s="16">
        <f>IFERROR(K12/SUM($K$2:$K$214),"")</f>
        <v/>
      </c>
      <c r="N12" t="n">
        <v>5</v>
      </c>
      <c r="O12" t="n">
        <v>0</v>
      </c>
      <c r="P12" s="19" t="n">
        <v>62.62</v>
      </c>
      <c r="R12" s="19" t="n">
        <v>59.83</v>
      </c>
      <c r="S12" t="inlineStr">
        <is>
          <t>BULLISH</t>
        </is>
      </c>
      <c r="T12" s="19" t="n">
        <v>38.05</v>
      </c>
      <c r="V12" t="n">
        <v>57.85</v>
      </c>
    </row>
    <row r="13" ht="22.5" customHeight="1" s="23">
      <c r="A13" s="10" t="inlineStr">
        <is>
          <t>BHARATFORG</t>
        </is>
      </c>
      <c r="B13" s="11" t="inlineStr">
        <is>
          <t>Auto Ancillary</t>
        </is>
      </c>
      <c r="C13" s="12">
        <f>IFERROR(__xludf.DUMMYFUNCTION("GOOGLEFINANCE(""NSE:""&amp;$A13,""price"")"),1842.2)</f>
        <v/>
      </c>
      <c r="D13" s="12">
        <f>IFERROR(__xludf.DUMMYFUNCTION("GOOGLEFINANCE(""NSE:""&amp;$A13,""priceopen"")"),1815.3)</f>
        <v/>
      </c>
      <c r="E13" s="12">
        <f>IFERROR(__xludf.DUMMYFUNCTION("GOOGLEFINANCE(""NSE:""&amp;$A13,""high"")"),1847.6)</f>
        <v/>
      </c>
      <c r="F13" s="12">
        <f>IFERROR(__xludf.DUMMYFUNCTION("GOOGLEFINANCE(""NSE:""&amp;$A13,""low"")"),1797.7)</f>
        <v/>
      </c>
      <c r="G13" s="12">
        <f>IFERROR(__xludf.DUMMYFUNCTION("IFERROR(INDEX(GOOGLEFINANCE(""NSE:""&amp;$A13,""close"",TODAY()),2,2),C13)"),1842.2)</f>
        <v/>
      </c>
      <c r="H13" s="12">
        <f>IFERROR(__xludf.DUMMYFUNCTION("GOOGLEFINANCE(""NSE:""&amp;$A13,""closeyest"")"),1815.3)</f>
        <v/>
      </c>
      <c r="I13" s="12">
        <f>IFERROR(C13-H13,"")</f>
        <v/>
      </c>
      <c r="J13" s="13">
        <f>IFERROR((C13-H13)/H13,"")</f>
        <v/>
      </c>
      <c r="K13" s="17">
        <f>IFERROR(__xludf.DUMMYFUNCTION("IFERROR(GOOGLEFINANCE(""NSE:""&amp;$A13,""marketcap""),"""")"),9.00228955459E11)</f>
        <v/>
      </c>
      <c r="L13" s="15">
        <f>IFERROR(K13/SUMIF($B$2:$B$214,B13,$K$2:$K$214),"")</f>
        <v/>
      </c>
      <c r="M13" s="16">
        <f>IFERROR(K13/SUM($K$2:$K$214),"")</f>
        <v/>
      </c>
      <c r="N13" t="n">
        <v>0</v>
      </c>
      <c r="O13" t="n">
        <v>3</v>
      </c>
      <c r="P13" s="19" t="n">
        <v>68.53</v>
      </c>
      <c r="R13" s="19" t="n">
        <v>33.09</v>
      </c>
      <c r="S13" t="inlineStr">
        <is>
          <t>NEUTRAL</t>
        </is>
      </c>
      <c r="T13" s="19" t="n">
        <v>28.48</v>
      </c>
      <c r="V13" t="n">
        <v>61.55</v>
      </c>
    </row>
    <row r="14" ht="22.5" customHeight="1" s="23">
      <c r="A14" s="10" t="inlineStr">
        <is>
          <t>BOSCHLTD</t>
        </is>
      </c>
      <c r="B14" s="11" t="inlineStr">
        <is>
          <t>Auto Ancillary</t>
        </is>
      </c>
      <c r="C14" s="12">
        <f>IFERROR(__xludf.DUMMYFUNCTION("GOOGLEFINANCE(""NSE:""&amp;$A14,""price"")"),44900.0)</f>
        <v/>
      </c>
      <c r="D14" s="12">
        <f>IFERROR(__xludf.DUMMYFUNCTION("GOOGLEFINANCE(""NSE:""&amp;$A14,""priceopen"")"),44480.0)</f>
        <v/>
      </c>
      <c r="E14" s="12">
        <f>IFERROR(__xludf.DUMMYFUNCTION("GOOGLEFINANCE(""NSE:""&amp;$A14,""high"")"),45000.0)</f>
        <v/>
      </c>
      <c r="F14" s="12">
        <f>IFERROR(__xludf.DUMMYFUNCTION("GOOGLEFINANCE(""NSE:""&amp;$A14,""low"")"),44030.0)</f>
        <v/>
      </c>
      <c r="G14" s="12">
        <f>IFERROR(__xludf.DUMMYFUNCTION("IFERROR(INDEX(GOOGLEFINANCE(""NSE:""&amp;$A14,""close"",TODAY()),2,2),C14)"),44900.0)</f>
        <v/>
      </c>
      <c r="H14" s="12">
        <f>IFERROR(__xludf.DUMMYFUNCTION("GOOGLEFINANCE(""NSE:""&amp;$A14,""closeyest"")"),44585.0)</f>
        <v/>
      </c>
      <c r="I14" s="12">
        <f>IFERROR(C14-H14,"")</f>
        <v/>
      </c>
      <c r="J14" s="13">
        <f>IFERROR((C14-H14)/H14,"")</f>
        <v/>
      </c>
      <c r="K14" s="17">
        <f>IFERROR(__xludf.DUMMYFUNCTION("IFERROR(GOOGLEFINANCE(""NSE:""&amp;$A14,""marketcap""),"""")"),1.33560143325E12)</f>
        <v/>
      </c>
      <c r="L14" s="15">
        <f>IFERROR(K14/SUMIF($B$2:$B$214,B14,$K$2:$K$214),"")</f>
        <v/>
      </c>
      <c r="M14" s="16">
        <f>IFERROR(K14/SUM($K$2:$K$214),"")</f>
        <v/>
      </c>
      <c r="N14" t="n">
        <v>1</v>
      </c>
      <c r="O14" t="n">
        <v>0</v>
      </c>
      <c r="P14" s="19" t="n">
        <v>56.87</v>
      </c>
      <c r="R14" s="19" t="n">
        <v>57.68</v>
      </c>
      <c r="S14" t="inlineStr">
        <is>
          <t>NEUTRAL</t>
        </is>
      </c>
      <c r="T14" s="19" t="n">
        <v>35.96</v>
      </c>
      <c r="V14" t="n">
        <v>62.1</v>
      </c>
    </row>
    <row r="15" ht="22.5" customHeight="1" s="23">
      <c r="A15" s="10" t="inlineStr">
        <is>
          <t>MOTHERSON</t>
        </is>
      </c>
      <c r="B15" s="11" t="inlineStr">
        <is>
          <t>Auto Ancillary</t>
        </is>
      </c>
      <c r="C15" s="12">
        <f>IFERROR(__xludf.DUMMYFUNCTION("GOOGLEFINANCE(""NSE:""&amp;$A15,""price"")"),160.0)</f>
        <v/>
      </c>
      <c r="D15" s="12">
        <f>IFERROR(__xludf.DUMMYFUNCTION("GOOGLEFINANCE(""NSE:""&amp;$A15,""priceopen"")"),154.98)</f>
        <v/>
      </c>
      <c r="E15" s="12">
        <f>IFERROR(__xludf.DUMMYFUNCTION("GOOGLEFINANCE(""NSE:""&amp;$A15,""high"")"),160.08)</f>
        <v/>
      </c>
      <c r="F15" s="12">
        <f>IFERROR(__xludf.DUMMYFUNCTION("GOOGLEFINANCE(""NSE:""&amp;$A15,""low"")"),153.67)</f>
        <v/>
      </c>
      <c r="G15" s="12">
        <f>IFERROR(__xludf.DUMMYFUNCTION("IFERROR(INDEX(GOOGLEFINANCE(""NSE:""&amp;$A15,""close"",TODAY()),2,2),C15)"),160.0)</f>
        <v/>
      </c>
      <c r="H15" s="12">
        <f>IFERROR(__xludf.DUMMYFUNCTION("GOOGLEFINANCE(""NSE:""&amp;$A15,""closeyest"")"),156.99)</f>
        <v/>
      </c>
      <c r="I15" s="12">
        <f>IFERROR(C15-H15,"")</f>
        <v/>
      </c>
      <c r="J15" s="13">
        <f>IFERROR((C15-H15)/H15,"")</f>
        <v/>
      </c>
      <c r="K15" s="17">
        <f>IFERROR(__xludf.DUMMYFUNCTION("IFERROR(GOOGLEFINANCE(""NSE:""&amp;$A15,""marketcap""),"""")"),1.0846904E12)</f>
        <v/>
      </c>
      <c r="L15" s="15">
        <f>IFERROR(K15/SUMIF($B$2:$B$214,B15,$K$2:$K$214),"")</f>
        <v/>
      </c>
      <c r="M15" s="16">
        <f>IFERROR(K15/SUM($K$2:$K$214),"")</f>
        <v/>
      </c>
      <c r="N15" t="n">
        <v>4</v>
      </c>
      <c r="O15" t="n">
        <v>0</v>
      </c>
      <c r="P15" s="19" t="n">
        <v>71.17</v>
      </c>
      <c r="R15" s="19" t="n">
        <v>63.21</v>
      </c>
      <c r="S15" t="inlineStr">
        <is>
          <t>BULLISH</t>
        </is>
      </c>
      <c r="T15" s="19" t="n">
        <v>44.45</v>
      </c>
      <c r="V15" t="n">
        <v>68.45999999999999</v>
      </c>
    </row>
    <row r="16" ht="22.5" customHeight="1" s="23">
      <c r="A16" s="10" t="inlineStr">
        <is>
          <t>SONACOMS</t>
        </is>
      </c>
      <c r="B16" s="11" t="inlineStr">
        <is>
          <t>Auto Ancillary</t>
        </is>
      </c>
      <c r="C16" s="12">
        <f>IFERROR(__xludf.DUMMYFUNCTION("GOOGLEFINANCE(""NSE:""&amp;$A16,""price"")"),802.95)</f>
        <v/>
      </c>
      <c r="D16" s="12">
        <f>IFERROR(__xludf.DUMMYFUNCTION("GOOGLEFINANCE(""NSE:""&amp;$A16,""priceopen"")"),793.95)</f>
        <v/>
      </c>
      <c r="E16" s="12">
        <f>IFERROR(__xludf.DUMMYFUNCTION("GOOGLEFINANCE(""NSE:""&amp;$A16,""high"")"),805.0)</f>
        <v/>
      </c>
      <c r="F16" s="12">
        <f>IFERROR(__xludf.DUMMYFUNCTION("GOOGLEFINANCE(""NSE:""&amp;$A16,""low"")"),787.0)</f>
        <v/>
      </c>
      <c r="G16" s="12">
        <f>IFERROR(__xludf.DUMMYFUNCTION("IFERROR(INDEX(GOOGLEFINANCE(""NSE:""&amp;$A16,""close"",TODAY()),2,2),C16)"),802.95)</f>
        <v/>
      </c>
      <c r="H16" s="12">
        <f>IFERROR(__xludf.DUMMYFUNCTION("GOOGLEFINANCE(""NSE:""&amp;$A16,""closeyest"")"),798.0)</f>
        <v/>
      </c>
      <c r="I16" s="12">
        <f>IFERROR(C16-H16,"")</f>
        <v/>
      </c>
      <c r="J16" s="13">
        <f>IFERROR((C16-H16)/H16,"")</f>
        <v/>
      </c>
      <c r="K16" s="17">
        <f>IFERROR(__xludf.DUMMYFUNCTION("IFERROR(GOOGLEFINANCE(""NSE:""&amp;$A16,""marketcap""),"""")"),5.000752164E11)</f>
        <v/>
      </c>
      <c r="L16" s="15">
        <f>IFERROR(K16/SUMIF($B$2:$B$214,B16,$K$2:$K$214),"")</f>
        <v/>
      </c>
      <c r="M16" s="16">
        <f>IFERROR(K16/SUM($K$2:$K$214),"")</f>
        <v/>
      </c>
      <c r="N16" t="n">
        <v>2</v>
      </c>
      <c r="O16" t="n">
        <v>0</v>
      </c>
      <c r="P16" s="19" t="n">
        <v>78.43000000000001</v>
      </c>
      <c r="R16" s="19" t="n">
        <v>70.84</v>
      </c>
      <c r="S16" t="inlineStr">
        <is>
          <t>NEUTRAL</t>
        </is>
      </c>
      <c r="T16" s="19" t="n">
        <v>42.78</v>
      </c>
      <c r="V16" t="n">
        <v>58.4</v>
      </c>
    </row>
    <row r="17" ht="22.5" customHeight="1" s="23">
      <c r="A17" s="10" t="inlineStr">
        <is>
          <t>UNOMINDA</t>
        </is>
      </c>
      <c r="B17" s="11" t="inlineStr">
        <is>
          <t>Auto Ancillary</t>
        </is>
      </c>
      <c r="C17" s="12">
        <f>IFERROR(__xludf.DUMMYFUNCTION("GOOGLEFINANCE(""NSE:""&amp;$A17,""price"")"),1110.0)</f>
        <v/>
      </c>
      <c r="D17" s="12">
        <f>IFERROR(__xludf.DUMMYFUNCTION("GOOGLEFINANCE(""NSE:""&amp;$A17,""priceopen"")"),1106.8)</f>
        <v/>
      </c>
      <c r="E17" s="12">
        <f>IFERROR(__xludf.DUMMYFUNCTION("GOOGLEFINANCE(""NSE:""&amp;$A17,""high"")"),1115.0)</f>
        <v/>
      </c>
      <c r="F17" s="12">
        <f>IFERROR(__xludf.DUMMYFUNCTION("GOOGLEFINANCE(""NSE:""&amp;$A17,""low"")"),1095.8)</f>
        <v/>
      </c>
      <c r="G17" s="12">
        <f>IFERROR(__xludf.DUMMYFUNCTION("IFERROR(INDEX(GOOGLEFINANCE(""NSE:""&amp;$A17,""close"",TODAY()),2,2),C17)"),1110.0)</f>
        <v/>
      </c>
      <c r="H17" s="12">
        <f>IFERROR(__xludf.DUMMYFUNCTION("GOOGLEFINANCE(""NSE:""&amp;$A17,""closeyest"")"),1104.4)</f>
        <v/>
      </c>
      <c r="I17" s="12">
        <f>IFERROR(C17-H17,"")</f>
        <v/>
      </c>
      <c r="J17" s="13">
        <f>IFERROR((C17-H17)/H17,"")</f>
        <v/>
      </c>
      <c r="K17" s="17">
        <f>IFERROR(__xludf.DUMMYFUNCTION("IFERROR(GOOGLEFINANCE(""NSE:""&amp;$A17,""marketcap""),"""")"),6.377548E11)</f>
        <v/>
      </c>
      <c r="L17" s="15">
        <f>IFERROR(K17/SUMIF($B$2:$B$214,B17,$K$2:$K$214),"")</f>
        <v/>
      </c>
      <c r="M17" s="16">
        <f>IFERROR(K17/SUM($K$2:$K$214),"")</f>
        <v/>
      </c>
      <c r="N17" t="n">
        <v>0</v>
      </c>
      <c r="O17" t="n">
        <v>2</v>
      </c>
      <c r="P17" s="19" t="n">
        <v>40.51</v>
      </c>
      <c r="R17" s="19" t="n">
        <v>44.95</v>
      </c>
      <c r="S17" t="inlineStr">
        <is>
          <t>NEUTRAL</t>
        </is>
      </c>
      <c r="T17" s="19" t="n">
        <v>24.43</v>
      </c>
      <c r="V17" t="n">
        <v>42.89</v>
      </c>
    </row>
    <row r="18" ht="22.5" customHeight="1" s="23">
      <c r="A18" s="10" t="inlineStr">
        <is>
          <t>AUBANK</t>
        </is>
      </c>
      <c r="B18" s="11" t="inlineStr">
        <is>
          <t>Banks</t>
        </is>
      </c>
      <c r="C18" s="12">
        <f>IFERROR(__xludf.DUMMYFUNCTION("GOOGLEFINANCE(""NSE:""&amp;$A18,""price"")"),991.5)</f>
        <v/>
      </c>
      <c r="D18" s="12">
        <f>IFERROR(__xludf.DUMMYFUNCTION("GOOGLEFINANCE(""NSE:""&amp;$A18,""priceopen"")"),977.0)</f>
        <v/>
      </c>
      <c r="E18" s="12">
        <f>IFERROR(__xludf.DUMMYFUNCTION("GOOGLEFINANCE(""NSE:""&amp;$A18,""high"")"),997.5)</f>
        <v/>
      </c>
      <c r="F18" s="12">
        <f>IFERROR(__xludf.DUMMYFUNCTION("GOOGLEFINANCE(""NSE:""&amp;$A18,""low"")"),974.4)</f>
        <v/>
      </c>
      <c r="G18" s="12">
        <f>IFERROR(__xludf.DUMMYFUNCTION("IFERROR(INDEX(GOOGLEFINANCE(""NSE:""&amp;$A18,""close"",TODAY()),2,2),C18)"),991.5)</f>
        <v/>
      </c>
      <c r="H18" s="12">
        <f>IFERROR(__xludf.DUMMYFUNCTION("GOOGLEFINANCE(""NSE:""&amp;$A18,""closeyest"")"),977.2)</f>
        <v/>
      </c>
      <c r="I18" s="12">
        <f>IFERROR(C18-H18,"")</f>
        <v/>
      </c>
      <c r="J18" s="13">
        <f>IFERROR((C18-H18)/H18,"")</f>
        <v/>
      </c>
      <c r="K18" s="17">
        <f>IFERROR(__xludf.DUMMYFUNCTION("IFERROR(GOOGLEFINANCE(""NSE:""&amp;$A18,""marketcap""),"""")"),7.30183817152E11)</f>
        <v/>
      </c>
      <c r="L18" s="15">
        <f>IFERROR(K18/SUMIF($B$2:$B$214,B18,$K$2:$K$214),"")</f>
        <v/>
      </c>
      <c r="M18" s="16">
        <f>IFERROR(K18/SUM($K$2:$K$214),"")</f>
        <v/>
      </c>
      <c r="N18" t="n">
        <v>0</v>
      </c>
      <c r="O18" s="17" t="n">
        <v>2</v>
      </c>
      <c r="P18" s="19" t="n">
        <v>67.18000000000001</v>
      </c>
      <c r="Q18" s="17" t="inlineStr">
        <is>
          <t xml:space="preserve">3 DRIVE N-DIV &amp; RANGE SHIFT </t>
        </is>
      </c>
      <c r="R18" s="19" t="n">
        <v>38.71</v>
      </c>
      <c r="S18" s="17" t="inlineStr">
        <is>
          <t>NEUTRAL</t>
        </is>
      </c>
      <c r="T18" s="19" t="n">
        <v>39.8</v>
      </c>
      <c r="U18" s="17" t="inlineStr">
        <is>
          <t xml:space="preserve">NEAR NRD </t>
        </is>
      </c>
      <c r="V18" t="n">
        <v>71.65000000000001</v>
      </c>
    </row>
    <row r="19" ht="22.5" customHeight="1" s="23">
      <c r="A19" s="10" t="inlineStr">
        <is>
          <t>AXISBANK</t>
        </is>
      </c>
      <c r="B19" s="11" t="inlineStr">
        <is>
          <t>Banks</t>
        </is>
      </c>
      <c r="C19" s="12">
        <f>IFERROR(__xludf.DUMMYFUNCTION("GOOGLEFINANCE(""NSE:""&amp;$A19,""price"")"),1268.4)</f>
        <v/>
      </c>
      <c r="D19" s="12">
        <f>IFERROR(__xludf.DUMMYFUNCTION("GOOGLEFINANCE(""NSE:""&amp;$A19,""priceopen"")"),1247.0)</f>
        <v/>
      </c>
      <c r="E19" s="12">
        <f>IFERROR(__xludf.DUMMYFUNCTION("GOOGLEFINANCE(""NSE:""&amp;$A19,""high"")"),1275.3)</f>
        <v/>
      </c>
      <c r="F19" s="12">
        <f>IFERROR(__xludf.DUMMYFUNCTION("GOOGLEFINANCE(""NSE:""&amp;$A19,""low"")"),1242.2)</f>
        <v/>
      </c>
      <c r="G19" s="12">
        <f>IFERROR(__xludf.DUMMYFUNCTION("IFERROR(INDEX(GOOGLEFINANCE(""NSE:""&amp;$A19,""close"",TODAY()),2,2),C19)"),1268.4)</f>
        <v/>
      </c>
      <c r="H19" s="12">
        <f>IFERROR(__xludf.DUMMYFUNCTION("GOOGLEFINANCE(""NSE:""&amp;$A19,""closeyest"")"),1253.0)</f>
        <v/>
      </c>
      <c r="I19" s="12">
        <f>IFERROR(C19-H19,"")</f>
        <v/>
      </c>
      <c r="J19" s="13">
        <f>IFERROR((C19-H19)/H19,"")</f>
        <v/>
      </c>
      <c r="K19" s="17">
        <f>IFERROR(__xludf.DUMMYFUNCTION("IFERROR(GOOGLEFINANCE(""NSE:""&amp;$A19,""marketcap""),"""")"),3.934599219E12)</f>
        <v/>
      </c>
      <c r="L19" s="15">
        <f>IFERROR(K19/SUMIF($B$2:$B$214,B19,$K$2:$K$214),"")</f>
        <v/>
      </c>
      <c r="M19" s="16">
        <f>IFERROR(K19/SUM($K$2:$K$214),"")</f>
        <v/>
      </c>
      <c r="N19" t="n">
        <v>0</v>
      </c>
      <c r="O19" t="n">
        <v>1</v>
      </c>
      <c r="P19" s="19" t="n">
        <v>60.35</v>
      </c>
      <c r="R19" s="19" t="n">
        <v>40.72</v>
      </c>
      <c r="S19" t="inlineStr">
        <is>
          <t>NEUTRAL</t>
        </is>
      </c>
      <c r="T19" s="19" t="n">
        <v>55.13</v>
      </c>
      <c r="V19" t="n">
        <v>58.58</v>
      </c>
    </row>
    <row r="20" ht="22.5" customHeight="1" s="23">
      <c r="A20" s="10" t="inlineStr">
        <is>
          <t>BANDHANBNK</t>
        </is>
      </c>
      <c r="B20" s="11" t="inlineStr">
        <is>
          <t>Banks</t>
        </is>
      </c>
      <c r="C20" s="12">
        <f>IFERROR(__xludf.DUMMYFUNCTION("GOOGLEFINANCE(""NSE:""&amp;$A20,""price"")"),172.0)</f>
        <v/>
      </c>
      <c r="D20" s="12">
        <f>IFERROR(__xludf.DUMMYFUNCTION("GOOGLEFINANCE(""NSE:""&amp;$A20,""priceopen"")"),162.0)</f>
        <v/>
      </c>
      <c r="E20" s="12">
        <f>IFERROR(__xludf.DUMMYFUNCTION("GOOGLEFINANCE(""NSE:""&amp;$A20,""high"")"),173.0)</f>
        <v/>
      </c>
      <c r="F20" s="12">
        <f>IFERROR(__xludf.DUMMYFUNCTION("GOOGLEFINANCE(""NSE:""&amp;$A20,""low"")"),161.51)</f>
        <v/>
      </c>
      <c r="G20" s="12">
        <f>IFERROR(__xludf.DUMMYFUNCTION("IFERROR(INDEX(GOOGLEFINANCE(""NSE:""&amp;$A20,""close"",TODAY()),2,2),C20)"),172.0)</f>
        <v/>
      </c>
      <c r="H20" s="12">
        <f>IFERROR(__xludf.DUMMYFUNCTION("GOOGLEFINANCE(""NSE:""&amp;$A20,""closeyest"")"),157.5)</f>
        <v/>
      </c>
      <c r="I20" s="12">
        <f>IFERROR(C20-H20,"")</f>
        <v/>
      </c>
      <c r="J20" s="13">
        <f>IFERROR((C20-H20)/H20,"")</f>
        <v/>
      </c>
      <c r="K20" s="17">
        <f>IFERROR(__xludf.DUMMYFUNCTION("IFERROR(GOOGLEFINANCE(""NSE:""&amp;$A20,""marketcap""),"""")"),2.76982436E11)</f>
        <v/>
      </c>
      <c r="L20" s="15">
        <f>IFERROR(K20/SUMIF($B$2:$B$214,B20,$K$2:$K$214),"")</f>
        <v/>
      </c>
      <c r="M20" s="16">
        <f>IFERROR(K20/SUM($K$2:$K$214),"")</f>
        <v/>
      </c>
      <c r="N20" t="n">
        <v>0</v>
      </c>
      <c r="O20" t="n">
        <v>3</v>
      </c>
      <c r="P20" s="19" t="n">
        <v>51.8</v>
      </c>
      <c r="R20" s="19" t="n">
        <v>36.04</v>
      </c>
      <c r="S20" t="inlineStr">
        <is>
          <t>NEUTRAL</t>
        </is>
      </c>
      <c r="T20" s="19" t="n">
        <v>34.58</v>
      </c>
      <c r="V20" t="n">
        <v>73.98</v>
      </c>
    </row>
    <row r="21" ht="15.75" customHeight="1" s="23">
      <c r="A21" s="10" t="inlineStr">
        <is>
          <t>BANKBARODA</t>
        </is>
      </c>
      <c r="B21" s="11" t="inlineStr">
        <is>
          <t>Banks</t>
        </is>
      </c>
      <c r="C21" s="12">
        <f>IFERROR(__xludf.DUMMYFUNCTION("GOOGLEFINANCE(""NSE:""&amp;$A21,""price"")"),238.43)</f>
        <v/>
      </c>
      <c r="D21" s="12">
        <f>IFERROR(__xludf.DUMMYFUNCTION("GOOGLEFINANCE(""NSE:""&amp;$A21,""priceopen"")"),234.75)</f>
        <v/>
      </c>
      <c r="E21" s="12">
        <f>IFERROR(__xludf.DUMMYFUNCTION("GOOGLEFINANCE(""NSE:""&amp;$A21,""high"")"),238.43)</f>
        <v/>
      </c>
      <c r="F21" s="12">
        <f>IFERROR(__xludf.DUMMYFUNCTION("GOOGLEFINANCE(""NSE:""&amp;$A21,""low"")"),233.76)</f>
        <v/>
      </c>
      <c r="G21" s="12">
        <f>IFERROR(__xludf.DUMMYFUNCTION("IFERROR(INDEX(GOOGLEFINANCE(""NSE:""&amp;$A21,""close"",TODAY()),2,2),C21)"),238.43)</f>
        <v/>
      </c>
      <c r="H21" s="12">
        <f>IFERROR(__xludf.DUMMYFUNCTION("GOOGLEFINANCE(""NSE:""&amp;$A21,""closeyest"")"),235.4)</f>
        <v/>
      </c>
      <c r="I21" s="12">
        <f>IFERROR(C21-H21,"")</f>
        <v/>
      </c>
      <c r="J21" s="13">
        <f>IFERROR((C21-H21)/H21,"")</f>
        <v/>
      </c>
      <c r="K21" s="17">
        <f>IFERROR(__xludf.DUMMYFUNCTION("IFERROR(GOOGLEFINANCE(""NSE:""&amp;$A21,""marketcap""),"""")"),1.228017811545E12)</f>
        <v/>
      </c>
      <c r="L21" s="15">
        <f>IFERROR(K21/SUMIF($B$2:$B$214,B21,$K$2:$K$214),"")</f>
        <v/>
      </c>
      <c r="M21" s="16">
        <f>IFERROR(K21/SUM($K$2:$K$214),"")</f>
        <v/>
      </c>
      <c r="N21" t="n">
        <v>0</v>
      </c>
      <c r="O21" t="n">
        <v>2</v>
      </c>
      <c r="P21" s="19" t="n">
        <v>50.74</v>
      </c>
      <c r="R21" s="19" t="n">
        <v>27.49</v>
      </c>
      <c r="S21" t="inlineStr">
        <is>
          <t>NEUTRAL</t>
        </is>
      </c>
      <c r="T21" s="19" t="n">
        <v>38.32</v>
      </c>
      <c r="V21" t="n">
        <v>32.55</v>
      </c>
    </row>
    <row r="22" ht="15.75" customHeight="1" s="23">
      <c r="A22" s="10" t="inlineStr">
        <is>
          <t>BANKINDIA</t>
        </is>
      </c>
      <c r="B22" s="11" t="inlineStr">
        <is>
          <t>Banks</t>
        </is>
      </c>
      <c r="C22" s="12">
        <f>IFERROR(__xludf.DUMMYFUNCTION("GOOGLEFINANCE(""NSE:""&amp;$A22,""price"")"),134.34)</f>
        <v/>
      </c>
      <c r="D22" s="12">
        <f>IFERROR(__xludf.DUMMYFUNCTION("GOOGLEFINANCE(""NSE:""&amp;$A22,""priceopen"")"),132.6)</f>
        <v/>
      </c>
      <c r="E22" s="12">
        <f>IFERROR(__xludf.DUMMYFUNCTION("GOOGLEFINANCE(""NSE:""&amp;$A22,""high"")"),135.32)</f>
        <v/>
      </c>
      <c r="F22" s="12">
        <f>IFERROR(__xludf.DUMMYFUNCTION("GOOGLEFINANCE(""NSE:""&amp;$A22,""low"")"),132.05)</f>
        <v/>
      </c>
      <c r="G22" s="12">
        <f>IFERROR(__xludf.DUMMYFUNCTION("IFERROR(INDEX(GOOGLEFINANCE(""NSE:""&amp;$A22,""close"",TODAY()),2,2),C22)"),134.34)</f>
        <v/>
      </c>
      <c r="H22" s="12">
        <f>IFERROR(__xludf.DUMMYFUNCTION("GOOGLEFINANCE(""NSE:""&amp;$A22,""closeyest"")"),133.4)</f>
        <v/>
      </c>
      <c r="I22" s="12">
        <f>IFERROR(C22-H22,"")</f>
        <v/>
      </c>
      <c r="J22" s="13">
        <f>IFERROR((C22-H22)/H22,"")</f>
        <v/>
      </c>
      <c r="K22" s="17">
        <f>IFERROR(__xludf.DUMMYFUNCTION("IFERROR(GOOGLEFINANCE(""NSE:""&amp;$A22,""marketcap""),"""")"),6.1243768E11)</f>
        <v/>
      </c>
      <c r="L22" s="15">
        <f>IFERROR(K22/SUMIF($B$2:$B$214,B22,$K$2:$K$214),"")</f>
        <v/>
      </c>
      <c r="M22" s="16">
        <f>IFERROR(K22/SUM($K$2:$K$214),"")</f>
        <v/>
      </c>
      <c r="N22" t="n">
        <v>0</v>
      </c>
      <c r="O22" t="n">
        <v>2</v>
      </c>
      <c r="P22" s="19" t="n">
        <v>60.08</v>
      </c>
      <c r="R22" s="19" t="n">
        <v>36.62</v>
      </c>
      <c r="S22" t="inlineStr">
        <is>
          <t>NEUTRAL</t>
        </is>
      </c>
      <c r="T22" s="19" t="n">
        <v>38.87</v>
      </c>
      <c r="V22" t="n">
        <v>55.41</v>
      </c>
    </row>
    <row r="23" ht="15.75" customHeight="1" s="23">
      <c r="A23" s="10" t="inlineStr">
        <is>
          <t>CANBK</t>
        </is>
      </c>
      <c r="B23" s="11" t="inlineStr">
        <is>
          <t>Banks</t>
        </is>
      </c>
      <c r="C23" s="12">
        <f>IFERROR(__xludf.DUMMYFUNCTION("GOOGLEFINANCE(""NSE:""&amp;$A23,""price"")"),120.44)</f>
        <v/>
      </c>
      <c r="D23" s="12">
        <f>IFERROR(__xludf.DUMMYFUNCTION("GOOGLEFINANCE(""NSE:""&amp;$A23,""priceopen"")"),118.7)</f>
        <v/>
      </c>
      <c r="E23" s="12">
        <f>IFERROR(__xludf.DUMMYFUNCTION("GOOGLEFINANCE(""NSE:""&amp;$A23,""high"")"),120.5)</f>
        <v/>
      </c>
      <c r="F23" s="12">
        <f>IFERROR(__xludf.DUMMYFUNCTION("GOOGLEFINANCE(""NSE:""&amp;$A23,""low"")"),117.92)</f>
        <v/>
      </c>
      <c r="G23" s="12">
        <f>IFERROR(__xludf.DUMMYFUNCTION("IFERROR(INDEX(GOOGLEFINANCE(""NSE:""&amp;$A23,""close"",TODAY()),2,2),C23)"),120.44)</f>
        <v/>
      </c>
      <c r="H23" s="12">
        <f>IFERROR(__xludf.DUMMYFUNCTION("GOOGLEFINANCE(""NSE:""&amp;$A23,""closeyest"")"),118.38)</f>
        <v/>
      </c>
      <c r="I23" s="12">
        <f>IFERROR(C23-H23,"")</f>
        <v/>
      </c>
      <c r="J23" s="13">
        <f>IFERROR((C23-H23)/H23,"")</f>
        <v/>
      </c>
      <c r="K23" s="17">
        <f>IFERROR(__xludf.DUMMYFUNCTION("IFERROR(GOOGLEFINANCE(""NSE:""&amp;$A23,""marketcap""),"""")"),1.089722474533E12)</f>
        <v/>
      </c>
      <c r="L23" s="15">
        <f>IFERROR(K23/SUMIF($B$2:$B$214,B23,$K$2:$K$214),"")</f>
        <v/>
      </c>
      <c r="M23" s="16">
        <f>IFERROR(K23/SUM($K$2:$K$214),"")</f>
        <v/>
      </c>
      <c r="N23" t="n">
        <v>0</v>
      </c>
      <c r="O23" t="n">
        <v>1</v>
      </c>
      <c r="P23" s="19" t="n">
        <v>59.32</v>
      </c>
      <c r="R23" s="19" t="n">
        <v>44.17</v>
      </c>
      <c r="S23" t="inlineStr">
        <is>
          <t>NEUTRAL</t>
        </is>
      </c>
      <c r="T23" s="19" t="n">
        <v>47.11</v>
      </c>
      <c r="V23" t="n">
        <v>76.05</v>
      </c>
    </row>
    <row r="24" ht="15.75" customHeight="1" s="23">
      <c r="A24" s="10" t="inlineStr">
        <is>
          <t>FEDERALBNK</t>
        </is>
      </c>
      <c r="B24" s="11" t="inlineStr">
        <is>
          <t>Banks</t>
        </is>
      </c>
      <c r="C24" s="12">
        <f>IFERROR(__xludf.DUMMYFUNCTION("GOOGLEFINANCE(""NSE:""&amp;$A24,""price"")"),329.5)</f>
        <v/>
      </c>
      <c r="D24" s="12">
        <f>IFERROR(__xludf.DUMMYFUNCTION("GOOGLEFINANCE(""NSE:""&amp;$A24,""priceopen"")"),329.4)</f>
        <v/>
      </c>
      <c r="E24" s="12">
        <f>IFERROR(__xludf.DUMMYFUNCTION("GOOGLEFINANCE(""NSE:""&amp;$A24,""high"")"),332.5)</f>
        <v/>
      </c>
      <c r="F24" s="12">
        <f>IFERROR(__xludf.DUMMYFUNCTION("GOOGLEFINANCE(""NSE:""&amp;$A24,""low"")"),324.6)</f>
        <v/>
      </c>
      <c r="G24" s="12">
        <f>IFERROR(__xludf.DUMMYFUNCTION("IFERROR(INDEX(GOOGLEFINANCE(""NSE:""&amp;$A24,""close"",TODAY()),2,2),C24)"),329.5)</f>
        <v/>
      </c>
      <c r="H24" s="12">
        <f>IFERROR(__xludf.DUMMYFUNCTION("GOOGLEFINANCE(""NSE:""&amp;$A24,""closeyest"")"),328.2)</f>
        <v/>
      </c>
      <c r="I24" s="12">
        <f>IFERROR(C24-H24,"")</f>
        <v/>
      </c>
      <c r="J24" s="13">
        <f>IFERROR((C24-H24)/H24,"")</f>
        <v/>
      </c>
      <c r="K24" s="17">
        <f>IFERROR(__xludf.DUMMYFUNCTION("IFERROR(GOOGLEFINANCE(""NSE:""&amp;$A24,""marketcap""),"""")"),8.06033104E11)</f>
        <v/>
      </c>
      <c r="L24" s="15">
        <f>IFERROR(K24/SUMIF($B$2:$B$214,B24,$K$2:$K$214),"")</f>
        <v/>
      </c>
      <c r="M24" s="16">
        <f>IFERROR(K24/SUM($K$2:$K$214),"")</f>
        <v/>
      </c>
      <c r="N24" t="n">
        <v>1</v>
      </c>
      <c r="O24" t="n">
        <v>0</v>
      </c>
      <c r="P24" s="19" t="n">
        <v>73.16</v>
      </c>
      <c r="R24" s="19" t="n">
        <v>50.62</v>
      </c>
      <c r="S24" t="inlineStr">
        <is>
          <t>NEUTRAL</t>
        </is>
      </c>
      <c r="T24" s="19" t="n">
        <v>48.84</v>
      </c>
      <c r="V24" t="n">
        <v>55.81</v>
      </c>
    </row>
    <row r="25" ht="15.75" customHeight="1" s="23">
      <c r="A25" s="10" t="inlineStr">
        <is>
          <t>HDFCBANK</t>
        </is>
      </c>
      <c r="B25" s="11" t="inlineStr">
        <is>
          <t>Banks</t>
        </is>
      </c>
      <c r="C25" s="12">
        <f>IFERROR(__xludf.DUMMYFUNCTION("GOOGLEFINANCE(""NSE:""&amp;$A25,""price"")"),714.0)</f>
        <v/>
      </c>
      <c r="D25" s="12">
        <f>IFERROR(__xludf.DUMMYFUNCTION("GOOGLEFINANCE(""NSE:""&amp;$A25,""priceopen"")"),707.0)</f>
        <v/>
      </c>
      <c r="E25" s="12">
        <f>IFERROR(__xludf.DUMMYFUNCTION("GOOGLEFINANCE(""NSE:""&amp;$A25,""high"")"),716.5)</f>
        <v/>
      </c>
      <c r="F25" s="12">
        <f>IFERROR(__xludf.DUMMYFUNCTION("GOOGLEFINANCE(""NSE:""&amp;$A25,""low"")"),705.1)</f>
        <v/>
      </c>
      <c r="G25" s="12">
        <f>IFERROR(__xludf.DUMMYFUNCTION("IFERROR(INDEX(GOOGLEFINANCE(""NSE:""&amp;$A25,""close"",TODAY()),2,2),C25)"),714.0)</f>
        <v/>
      </c>
      <c r="H25" s="12">
        <f>IFERROR(__xludf.DUMMYFUNCTION("GOOGLEFINANCE(""NSE:""&amp;$A25,""closeyest"")"),704.9)</f>
        <v/>
      </c>
      <c r="I25" s="12">
        <f>IFERROR(C25-H25,"")</f>
        <v/>
      </c>
      <c r="J25" s="13">
        <f>IFERROR((C25-H25)/H25,"")</f>
        <v/>
      </c>
      <c r="K25" s="17">
        <f>IFERROR(__xludf.DUMMYFUNCTION("IFERROR(GOOGLEFINANCE(""NSE:""&amp;$A25,""marketcap""),"""")"),1.12622654323E11)</f>
        <v/>
      </c>
      <c r="L25" s="15">
        <f>IFERROR(K25/SUMIF($B$2:$B$214,B25,$K$2:$K$214),"")</f>
        <v/>
      </c>
      <c r="M25" s="16">
        <f>IFERROR(K25/SUM($K$2:$K$214),"")</f>
        <v/>
      </c>
      <c r="N25" t="n">
        <v>0</v>
      </c>
      <c r="O25" t="n">
        <v>2</v>
      </c>
      <c r="P25" s="19" t="n">
        <v>29.54</v>
      </c>
      <c r="R25" s="19" t="n">
        <v>19.38</v>
      </c>
      <c r="S25" t="inlineStr">
        <is>
          <t>NEUTRAL</t>
        </is>
      </c>
      <c r="T25" s="19" t="n">
        <v>40.07</v>
      </c>
      <c r="V25" t="n">
        <v>62.13</v>
      </c>
    </row>
    <row r="26" ht="15.75" customHeight="1" s="23">
      <c r="A26" s="10" t="inlineStr">
        <is>
          <t>ICICIBANK</t>
        </is>
      </c>
      <c r="B26" s="11" t="inlineStr">
        <is>
          <t>Banks</t>
        </is>
      </c>
      <c r="C26" s="12">
        <f>IFERROR(__xludf.DUMMYFUNCTION("GOOGLEFINANCE(""NSE:""&amp;$A26,""price"")"),1360.2)</f>
        <v/>
      </c>
      <c r="D26" s="12">
        <f>IFERROR(__xludf.DUMMYFUNCTION("GOOGLEFINANCE(""NSE:""&amp;$A26,""priceopen"")"),1339.0)</f>
        <v/>
      </c>
      <c r="E26" s="12">
        <f>IFERROR(__xludf.DUMMYFUNCTION("GOOGLEFINANCE(""NSE:""&amp;$A26,""high"")"),1364.6)</f>
        <v/>
      </c>
      <c r="F26" s="12">
        <f>IFERROR(__xludf.DUMMYFUNCTION("GOOGLEFINANCE(""NSE:""&amp;$A26,""low"")"),1329.4)</f>
        <v/>
      </c>
      <c r="G26" s="12">
        <f>IFERROR(__xludf.DUMMYFUNCTION("IFERROR(INDEX(GOOGLEFINANCE(""NSE:""&amp;$A26,""close"",TODAY()),2,2),C26)"),1360.2)</f>
        <v/>
      </c>
      <c r="H26" s="12">
        <f>IFERROR(__xludf.DUMMYFUNCTION("GOOGLEFINANCE(""NSE:""&amp;$A26,""closeyest"")"),1340.0)</f>
        <v/>
      </c>
      <c r="I26" s="12">
        <f>IFERROR(C26-H26,"")</f>
        <v/>
      </c>
      <c r="J26" s="13">
        <f>IFERROR((C26-H26)/H26,"")</f>
        <v/>
      </c>
      <c r="K26" s="17">
        <f>IFERROR(__xludf.DUMMYFUNCTION("IFERROR(GOOGLEFINANCE(""NSE:""&amp;$A26,""marketcap""),"""")"),1.0044806982E11)</f>
        <v/>
      </c>
      <c r="L26" s="15">
        <f>IFERROR(K26/SUMIF($B$2:$B$214,B26,$K$2:$K$214),"")</f>
        <v/>
      </c>
      <c r="M26" s="16">
        <f>IFERROR(K26/SUM($K$2:$K$214),"")</f>
        <v/>
      </c>
      <c r="N26" t="n">
        <v>0</v>
      </c>
      <c r="O26" t="n">
        <v>2</v>
      </c>
      <c r="P26" s="19" t="n">
        <v>46.91</v>
      </c>
      <c r="R26" s="19" t="n">
        <v>39.51</v>
      </c>
      <c r="S26" t="inlineStr">
        <is>
          <t>NEUTRAL</t>
        </is>
      </c>
      <c r="T26" s="19" t="n">
        <v>49.66</v>
      </c>
      <c r="V26" t="n">
        <v>48.75</v>
      </c>
    </row>
    <row r="27" ht="15.75" customHeight="1" s="23">
      <c r="A27" s="10" t="inlineStr">
        <is>
          <t>IDFCFIRSTB</t>
        </is>
      </c>
      <c r="B27" s="11" t="inlineStr">
        <is>
          <t>Banks</t>
        </is>
      </c>
      <c r="C27" s="12">
        <f>IFERROR(__xludf.DUMMYFUNCTION("GOOGLEFINANCE(""NSE:""&amp;$A27,""price"")"),78.83)</f>
        <v/>
      </c>
      <c r="D27" s="12">
        <f>IFERROR(__xludf.DUMMYFUNCTION("GOOGLEFINANCE(""NSE:""&amp;$A27,""priceopen"")"),79.39)</f>
        <v/>
      </c>
      <c r="E27" s="12">
        <f>IFERROR(__xludf.DUMMYFUNCTION("GOOGLEFINANCE(""NSE:""&amp;$A27,""high"")"),80.25)</f>
        <v/>
      </c>
      <c r="F27" s="12">
        <f>IFERROR(__xludf.DUMMYFUNCTION("GOOGLEFINANCE(""NSE:""&amp;$A27,""low"")"),78.75)</f>
        <v/>
      </c>
      <c r="G27" s="12">
        <f>IFERROR(__xludf.DUMMYFUNCTION("IFERROR(INDEX(GOOGLEFINANCE(""NSE:""&amp;$A27,""close"",TODAY()),2,2),C27)"),78.83)</f>
        <v/>
      </c>
      <c r="H27" s="12">
        <f>IFERROR(__xludf.DUMMYFUNCTION("GOOGLEFINANCE(""NSE:""&amp;$A27,""closeyest"")"),79.44)</f>
        <v/>
      </c>
      <c r="I27" s="12">
        <f>IFERROR(C27-H27,"")</f>
        <v/>
      </c>
      <c r="J27" s="13">
        <f>IFERROR((C27-H27)/H27,"")</f>
        <v/>
      </c>
      <c r="K27" s="17">
        <f>IFERROR(__xludf.DUMMYFUNCTION("IFERROR(GOOGLEFINANCE(""NSE:""&amp;$A27,""marketcap""),"""")"),5.78023955006E11)</f>
        <v/>
      </c>
      <c r="L27" s="15">
        <f>IFERROR(K27/SUMIF($B$2:$B$214,B27,$K$2:$K$214),"")</f>
        <v/>
      </c>
      <c r="M27" s="16">
        <f>IFERROR(K27/SUM($K$2:$K$214),"")</f>
        <v/>
      </c>
      <c r="N27" t="n">
        <v>0</v>
      </c>
      <c r="O27" t="n">
        <v>2</v>
      </c>
      <c r="P27" s="19" t="n">
        <v>56.67</v>
      </c>
      <c r="R27" s="19" t="n">
        <v>45.85</v>
      </c>
      <c r="S27" t="inlineStr">
        <is>
          <t>NEUTRAL</t>
        </is>
      </c>
      <c r="T27" s="19" t="n">
        <v>25.87</v>
      </c>
      <c r="V27" t="n">
        <v>39.58</v>
      </c>
    </row>
    <row r="28" ht="15.75" customHeight="1" s="23">
      <c r="A28" s="10" t="inlineStr">
        <is>
          <t>INDIANB</t>
        </is>
      </c>
      <c r="B28" s="11" t="inlineStr">
        <is>
          <t>Banks</t>
        </is>
      </c>
      <c r="C28" s="12">
        <f>IFERROR(__xludf.DUMMYFUNCTION("GOOGLEFINANCE(""NSE:""&amp;$A28,""price"")"),841.55)</f>
        <v/>
      </c>
      <c r="D28" s="12">
        <f>IFERROR(__xludf.DUMMYFUNCTION("GOOGLEFINANCE(""NSE:""&amp;$A28,""priceopen"")"),817.0)</f>
        <v/>
      </c>
      <c r="E28" s="12">
        <f>IFERROR(__xludf.DUMMYFUNCTION("GOOGLEFINANCE(""NSE:""&amp;$A28,""high"")"),841.55)</f>
        <v/>
      </c>
      <c r="F28" s="12">
        <f>IFERROR(__xludf.DUMMYFUNCTION("GOOGLEFINANCE(""NSE:""&amp;$A28,""low"")"),817.0)</f>
        <v/>
      </c>
      <c r="G28" s="12">
        <f>IFERROR(__xludf.DUMMYFUNCTION("IFERROR(INDEX(GOOGLEFINANCE(""NSE:""&amp;$A28,""close"",TODAY()),2,2),C28)"),841.55)</f>
        <v/>
      </c>
      <c r="H28" s="12">
        <f>IFERROR(__xludf.DUMMYFUNCTION("GOOGLEFINANCE(""NSE:""&amp;$A28,""closeyest"")"),814.1)</f>
        <v/>
      </c>
      <c r="I28" s="12">
        <f>IFERROR(C28-H28,"")</f>
        <v/>
      </c>
      <c r="J28" s="13">
        <f>IFERROR((C28-H28)/H28,"")</f>
        <v/>
      </c>
      <c r="K28" s="17">
        <f>IFERROR(__xludf.DUMMYFUNCTION("IFERROR(GOOGLEFINANCE(""NSE:""&amp;$A28,""marketcap""),"""")"),1.13174292E12)</f>
        <v/>
      </c>
      <c r="L28" s="15">
        <f>IFERROR(K28/SUMIF($B$2:$B$214,B28,$K$2:$K$214),"")</f>
        <v/>
      </c>
      <c r="M28" s="16">
        <f>IFERROR(K28/SUM($K$2:$K$214),"")</f>
        <v/>
      </c>
      <c r="N28" t="n">
        <v>0</v>
      </c>
      <c r="O28" t="n">
        <v>1</v>
      </c>
      <c r="P28" s="19" t="n">
        <v>63.45</v>
      </c>
      <c r="R28" s="19" t="n">
        <v>46.24</v>
      </c>
      <c r="S28" t="inlineStr">
        <is>
          <t>NEUTRAL</t>
        </is>
      </c>
      <c r="T28" s="19" t="n">
        <v>51.84</v>
      </c>
      <c r="V28" t="n">
        <v>72.53</v>
      </c>
    </row>
    <row r="29" ht="15.75" customHeight="1" s="23">
      <c r="A29" s="10" t="inlineStr">
        <is>
          <t>INDUSINDBK</t>
        </is>
      </c>
      <c r="B29" s="11" t="inlineStr">
        <is>
          <t>Banks</t>
        </is>
      </c>
      <c r="C29" s="12">
        <f>IFERROR(__xludf.DUMMYFUNCTION("GOOGLEFINANCE(""NSE:""&amp;$A29,""price"")"),877.35)</f>
        <v/>
      </c>
      <c r="D29" s="12">
        <f>IFERROR(__xludf.DUMMYFUNCTION("GOOGLEFINANCE(""NSE:""&amp;$A29,""priceopen"")"),851.0)</f>
        <v/>
      </c>
      <c r="E29" s="12">
        <f>IFERROR(__xludf.DUMMYFUNCTION("GOOGLEFINANCE(""NSE:""&amp;$A29,""high"")"),880.0)</f>
        <v/>
      </c>
      <c r="F29" s="12">
        <f>IFERROR(__xludf.DUMMYFUNCTION("GOOGLEFINANCE(""NSE:""&amp;$A29,""low"")"),845.7)</f>
        <v/>
      </c>
      <c r="G29" s="12">
        <f>IFERROR(__xludf.DUMMYFUNCTION("IFERROR(INDEX(GOOGLEFINANCE(""NSE:""&amp;$A29,""close"",TODAY()),2,2),C29)"),877.35)</f>
        <v/>
      </c>
      <c r="H29" s="12">
        <f>IFERROR(__xludf.DUMMYFUNCTION("GOOGLEFINANCE(""NSE:""&amp;$A29,""closeyest"")"),853.0)</f>
        <v/>
      </c>
      <c r="I29" s="12">
        <f>IFERROR(C29-H29,"")</f>
        <v/>
      </c>
      <c r="J29" s="13">
        <f>IFERROR((C29-H29)/H29,"")</f>
        <v/>
      </c>
      <c r="K29" s="17">
        <f>IFERROR(__xludf.DUMMYFUNCTION("IFERROR(GOOGLEFINANCE(""NSE:""&amp;$A29,""marketcap""),"""")"),6.83582495787E11)</f>
        <v/>
      </c>
      <c r="L29" s="15">
        <f>IFERROR(K29/SUMIF($B$2:$B$214,B29,$K$2:$K$214),"")</f>
        <v/>
      </c>
      <c r="M29" s="16">
        <f>IFERROR(K29/SUM($K$2:$K$214),"")</f>
        <v/>
      </c>
      <c r="N29" t="n">
        <v>0</v>
      </c>
      <c r="O29" t="n">
        <v>3</v>
      </c>
      <c r="P29" s="19" t="n">
        <v>57.53</v>
      </c>
      <c r="R29" s="19" t="n">
        <v>21.43</v>
      </c>
      <c r="S29" t="inlineStr">
        <is>
          <t>NEUTRAL</t>
        </is>
      </c>
      <c r="T29" s="19" t="n">
        <v>29.52</v>
      </c>
      <c r="V29" t="n">
        <v>64.16</v>
      </c>
    </row>
    <row r="30" ht="15.75" customHeight="1" s="23">
      <c r="A30" s="10" t="inlineStr">
        <is>
          <t>KOTAKBANK</t>
        </is>
      </c>
      <c r="B30" s="11" t="inlineStr">
        <is>
          <t>Banks</t>
        </is>
      </c>
      <c r="C30" s="12">
        <f>IFERROR(__xludf.DUMMYFUNCTION("GOOGLEFINANCE(""NSE:""&amp;$A30,""price"")"),439.0)</f>
        <v/>
      </c>
      <c r="D30" s="12">
        <f>IFERROR(__xludf.DUMMYFUNCTION("GOOGLEFINANCE(""NSE:""&amp;$A30,""priceopen"")"),443.1)</f>
        <v/>
      </c>
      <c r="E30" s="12">
        <f>IFERROR(__xludf.DUMMYFUNCTION("GOOGLEFINANCE(""NSE:""&amp;$A30,""high"")"),443.35)</f>
        <v/>
      </c>
      <c r="F30" s="12">
        <f>IFERROR(__xludf.DUMMYFUNCTION("GOOGLEFINANCE(""NSE:""&amp;$A30,""low"")"),437.5)</f>
        <v/>
      </c>
      <c r="G30" s="12">
        <f>IFERROR(__xludf.DUMMYFUNCTION("IFERROR(INDEX(GOOGLEFINANCE(""NSE:""&amp;$A30,""close"",TODAY()),2,2),C30)"),439.0)</f>
        <v/>
      </c>
      <c r="H30" s="12">
        <f>IFERROR(__xludf.DUMMYFUNCTION("GOOGLEFINANCE(""NSE:""&amp;$A30,""closeyest"")"),443.4)</f>
        <v/>
      </c>
      <c r="I30" s="12">
        <f>IFERROR(C30-H30,"")</f>
        <v/>
      </c>
      <c r="J30" s="13">
        <f>IFERROR((C30-H30)/H30,"")</f>
        <v/>
      </c>
      <c r="K30" s="17">
        <f>IFERROR(__xludf.DUMMYFUNCTION("IFERROR(GOOGLEFINANCE(""NSE:""&amp;$A30,""marketcap""),"""")"),8.72432602E11)</f>
        <v/>
      </c>
      <c r="L30" s="15">
        <f>IFERROR(K30/SUMIF($B$2:$B$214,B30,$K$2:$K$214),"")</f>
        <v/>
      </c>
      <c r="M30" s="16">
        <f>IFERROR(K30/SUM($K$2:$K$214),"")</f>
        <v/>
      </c>
      <c r="N30" t="n">
        <v>7</v>
      </c>
      <c r="O30" t="n">
        <v>0</v>
      </c>
      <c r="P30" s="19" t="n">
        <v>59.65</v>
      </c>
      <c r="R30" s="19" t="n">
        <v>75.8</v>
      </c>
      <c r="S30" t="inlineStr">
        <is>
          <t>STRONG BULLISH</t>
        </is>
      </c>
      <c r="T30" s="19" t="n">
        <v>66.84999999999999</v>
      </c>
      <c r="V30" t="n">
        <v>32.46</v>
      </c>
    </row>
    <row r="31" ht="15.75" customHeight="1" s="23">
      <c r="A31" s="10" t="inlineStr">
        <is>
          <t>MAHABANK</t>
        </is>
      </c>
      <c r="B31" s="11" t="inlineStr">
        <is>
          <t>Banks</t>
        </is>
      </c>
      <c r="C31" s="12">
        <f>IFERROR(__xludf.DUMMYFUNCTION("GOOGLEFINANCE(""NSE:""&amp;$A31,""price"")"),83.74)</f>
        <v/>
      </c>
      <c r="D31" s="12">
        <f>IFERROR(__xludf.DUMMYFUNCTION("GOOGLEFINANCE(""NSE:""&amp;$A31,""priceopen"")"),83.41)</f>
        <v/>
      </c>
      <c r="E31" s="12">
        <f>IFERROR(__xludf.DUMMYFUNCTION("GOOGLEFINANCE(""NSE:""&amp;$A31,""high"")"),84.09)</f>
        <v/>
      </c>
      <c r="F31" s="12">
        <f>IFERROR(__xludf.DUMMYFUNCTION("GOOGLEFINANCE(""NSE:""&amp;$A31,""low"")"),82.56)</f>
        <v/>
      </c>
      <c r="G31" s="12">
        <f>IFERROR(__xludf.DUMMYFUNCTION("IFERROR(INDEX(GOOGLEFINANCE(""NSE:""&amp;$A31,""close"",TODAY()),2,2),C31)"),83.74)</f>
        <v/>
      </c>
      <c r="H31" s="12">
        <f>IFERROR(__xludf.DUMMYFUNCTION("GOOGLEFINANCE(""NSE:""&amp;$A31,""closeyest"")"),83.0)</f>
        <v/>
      </c>
      <c r="I31" s="12">
        <f>IFERROR(C31-H31,"")</f>
        <v/>
      </c>
      <c r="J31" s="13">
        <f>IFERROR((C31-H31)/H31,"")</f>
        <v/>
      </c>
      <c r="K31" s="17">
        <f>IFERROR(__xludf.DUMMYFUNCTION("IFERROR(GOOGLEFINANCE(""NSE:""&amp;$A31,""marketcap""),"""")"),6.43965607972E11)</f>
        <v/>
      </c>
      <c r="L31" s="15">
        <f>IFERROR(K31/SUMIF($B$2:$B$214,B31,$K$2:$K$214),"")</f>
        <v/>
      </c>
      <c r="M31" s="16">
        <f>IFERROR(K31/SUM($K$2:$K$214),"")</f>
        <v/>
      </c>
      <c r="N31" t="n">
        <v>2</v>
      </c>
      <c r="O31" t="n">
        <v>1</v>
      </c>
      <c r="P31" s="19" t="n">
        <v>68.23</v>
      </c>
      <c r="R31" s="19" t="n">
        <v>47.85</v>
      </c>
      <c r="S31" t="inlineStr">
        <is>
          <t>NEUTRAL</t>
        </is>
      </c>
      <c r="T31" s="19" t="n">
        <v>47.46</v>
      </c>
      <c r="V31" t="n">
        <v>50.72</v>
      </c>
    </row>
    <row r="32" ht="15.75" customHeight="1" s="23">
      <c r="A32" s="10" t="inlineStr">
        <is>
          <t>PNB</t>
        </is>
      </c>
      <c r="B32" s="11" t="inlineStr">
        <is>
          <t>Banks</t>
        </is>
      </c>
      <c r="C32" s="12">
        <f>IFERROR(__xludf.DUMMYFUNCTION("GOOGLEFINANCE(""NSE:""&amp;$A32,""price"")"),116.55)</f>
        <v/>
      </c>
      <c r="D32" s="12">
        <f>IFERROR(__xludf.DUMMYFUNCTION("GOOGLEFINANCE(""NSE:""&amp;$A32,""priceopen"")"),115.45)</f>
        <v/>
      </c>
      <c r="E32" s="12">
        <f>IFERROR(__xludf.DUMMYFUNCTION("GOOGLEFINANCE(""NSE:""&amp;$A32,""high"")"),117.25)</f>
        <v/>
      </c>
      <c r="F32" s="12">
        <f>IFERROR(__xludf.DUMMYFUNCTION("GOOGLEFINANCE(""NSE:""&amp;$A32,""low"")"),115.18)</f>
        <v/>
      </c>
      <c r="G32" s="12">
        <f>IFERROR(__xludf.DUMMYFUNCTION("IFERROR(INDEX(GOOGLEFINANCE(""NSE:""&amp;$A32,""close"",TODAY()),2,2),C32)"),116.55)</f>
        <v/>
      </c>
      <c r="H32" s="12">
        <f>IFERROR(__xludf.DUMMYFUNCTION("GOOGLEFINANCE(""NSE:""&amp;$A32,""closeyest"")"),116.0)</f>
        <v/>
      </c>
      <c r="I32" s="12">
        <f>IFERROR(C32-H32,"")</f>
        <v/>
      </c>
      <c r="J32" s="13">
        <f>IFERROR((C32-H32)/H32,"")</f>
        <v/>
      </c>
      <c r="K32" s="17">
        <f>IFERROR(__xludf.DUMMYFUNCTION("IFERROR(GOOGLEFINANCE(""NSE:""&amp;$A32,""marketcap""),"""")"),1.339736457579E12)</f>
        <v/>
      </c>
      <c r="L32" s="15">
        <f>IFERROR(K32/SUMIF($B$2:$B$214,B32,$K$2:$K$214),"")</f>
        <v/>
      </c>
      <c r="M32" s="16">
        <f>IFERROR(K32/SUM($K$2:$K$214),"")</f>
        <v/>
      </c>
      <c r="N32" t="n">
        <v>2</v>
      </c>
      <c r="O32" t="n">
        <v>0</v>
      </c>
      <c r="P32" s="19" t="n">
        <v>61.74</v>
      </c>
      <c r="R32" s="19" t="n">
        <v>69.14</v>
      </c>
      <c r="S32" t="inlineStr">
        <is>
          <t>NEUTRAL</t>
        </is>
      </c>
      <c r="T32" s="19" t="n">
        <v>50.43</v>
      </c>
      <c r="V32" t="n">
        <v>66.55</v>
      </c>
    </row>
    <row r="33" ht="15.75" customHeight="1" s="23">
      <c r="A33" s="10" t="inlineStr">
        <is>
          <t>RBLBANK</t>
        </is>
      </c>
      <c r="B33" s="11" t="inlineStr">
        <is>
          <t>Banks</t>
        </is>
      </c>
      <c r="C33" s="12">
        <f>IFERROR(__xludf.DUMMYFUNCTION("GOOGLEFINANCE(""NSE:""&amp;$A33,""price"")"),388.05)</f>
        <v/>
      </c>
      <c r="D33" s="12">
        <f>IFERROR(__xludf.DUMMYFUNCTION("GOOGLEFINANCE(""NSE:""&amp;$A33,""priceopen"")"),400.0)</f>
        <v/>
      </c>
      <c r="E33" s="12">
        <f>IFERROR(__xludf.DUMMYFUNCTION("GOOGLEFINANCE(""NSE:""&amp;$A33,""high"")"),401.85)</f>
        <v/>
      </c>
      <c r="F33" s="12">
        <f>IFERROR(__xludf.DUMMYFUNCTION("GOOGLEFINANCE(""NSE:""&amp;$A33,""low"")"),381.4)</f>
        <v/>
      </c>
      <c r="G33" s="12">
        <f>IFERROR(__xludf.DUMMYFUNCTION("IFERROR(INDEX(GOOGLEFINANCE(""NSE:""&amp;$A33,""close"",TODAY()),2,2),C33)"),388.05)</f>
        <v/>
      </c>
      <c r="H33" s="12">
        <f>IFERROR(__xludf.DUMMYFUNCTION("GOOGLEFINANCE(""NSE:""&amp;$A33,""closeyest"")"),417.7)</f>
        <v/>
      </c>
      <c r="I33" s="12">
        <f>IFERROR(C33-H33,"")</f>
        <v/>
      </c>
      <c r="J33" s="13">
        <f>IFERROR((C33-H33)/H33,"")</f>
        <v/>
      </c>
      <c r="K33" s="17">
        <f>IFERROR(__xludf.DUMMYFUNCTION("IFERROR(GOOGLEFINANCE(""NSE:""&amp;$A33,""marketcap""),"""")"),5.99449755155E11)</f>
        <v/>
      </c>
      <c r="L33" s="15">
        <f>IFERROR(K33/SUMIF($B$2:$B$214,B33,$K$2:$K$214),"")</f>
        <v/>
      </c>
      <c r="M33" s="16">
        <f>IFERROR(K33/SUM($K$2:$K$214),"")</f>
        <v/>
      </c>
      <c r="N33" t="n">
        <v>1</v>
      </c>
      <c r="O33" t="n">
        <v>1</v>
      </c>
      <c r="P33" s="19" t="n">
        <v>72.37</v>
      </c>
      <c r="R33" s="19" t="n">
        <v>51.9</v>
      </c>
      <c r="S33" t="inlineStr">
        <is>
          <t>NEUTRAL</t>
        </is>
      </c>
      <c r="T33" s="19" t="n">
        <v>30.96</v>
      </c>
      <c r="V33" t="n">
        <v>18.55</v>
      </c>
    </row>
    <row r="34" ht="15.75" customHeight="1" s="23">
      <c r="A34" s="10" t="inlineStr">
        <is>
          <t>SBIN</t>
        </is>
      </c>
      <c r="B34" s="11" t="inlineStr">
        <is>
          <t>Banks</t>
        </is>
      </c>
      <c r="C34" s="12">
        <f>IFERROR(__xludf.DUMMYFUNCTION("GOOGLEFINANCE(""NSE:""&amp;$A34,""price"")"),957.0)</f>
        <v/>
      </c>
      <c r="D34" s="12">
        <f>IFERROR(__xludf.DUMMYFUNCTION("GOOGLEFINANCE(""NSE:""&amp;$A34,""priceopen"")"),941.0)</f>
        <v/>
      </c>
      <c r="E34" s="12">
        <f>IFERROR(__xludf.DUMMYFUNCTION("GOOGLEFINANCE(""NSE:""&amp;$A34,""high"")"),957.0)</f>
        <v/>
      </c>
      <c r="F34" s="12">
        <f>IFERROR(__xludf.DUMMYFUNCTION("GOOGLEFINANCE(""NSE:""&amp;$A34,""low"")"),938.6)</f>
        <v/>
      </c>
      <c r="G34" s="12">
        <f>IFERROR(__xludf.DUMMYFUNCTION("IFERROR(INDEX(GOOGLEFINANCE(""NSE:""&amp;$A34,""close"",TODAY()),2,2),C34)"),957.0)</f>
        <v/>
      </c>
      <c r="H34" s="12">
        <f>IFERROR(__xludf.DUMMYFUNCTION("GOOGLEFINANCE(""NSE:""&amp;$A34,""closeyest"")"),941.0)</f>
        <v/>
      </c>
      <c r="I34" s="12">
        <f>IFERROR(C34-H34,"")</f>
        <v/>
      </c>
      <c r="J34" s="13">
        <f>IFERROR((C34-H34)/H34,"")</f>
        <v/>
      </c>
      <c r="K34" s="17">
        <f>IFERROR(__xludf.DUMMYFUNCTION("IFERROR(GOOGLEFINANCE(""NSE:""&amp;$A34,""marketcap""),"""")"),8.823547015656E12)</f>
        <v/>
      </c>
      <c r="L34" s="15">
        <f>IFERROR(K34/SUMIF($B$2:$B$214,B34,$K$2:$K$214),"")</f>
        <v/>
      </c>
      <c r="M34" s="16">
        <f>IFERROR(K34/SUM($K$2:$K$214),"")</f>
        <v/>
      </c>
      <c r="N34" t="n">
        <v>0</v>
      </c>
      <c r="O34" t="n">
        <v>2</v>
      </c>
      <c r="P34" s="19" t="n">
        <v>58.47</v>
      </c>
      <c r="R34" s="19" t="n">
        <v>35.15</v>
      </c>
      <c r="S34" t="inlineStr">
        <is>
          <t>NEUTRAL</t>
        </is>
      </c>
      <c r="T34" s="19" t="n">
        <v>35.27</v>
      </c>
      <c r="V34" t="n">
        <v>60.35</v>
      </c>
    </row>
    <row r="35" ht="15.75" customHeight="1" s="23">
      <c r="A35" s="10" t="inlineStr">
        <is>
          <t>UJJIVANSFB</t>
        </is>
      </c>
      <c r="B35" s="11" t="inlineStr">
        <is>
          <t>Banks</t>
        </is>
      </c>
      <c r="C35" s="12">
        <f>IFERROR(__xludf.DUMMYFUNCTION("GOOGLEFINANCE(""NSE:""&amp;$A35,""price"")"),65.25)</f>
        <v/>
      </c>
      <c r="D35" s="12">
        <f>IFERROR(__xludf.DUMMYFUNCTION("GOOGLEFINANCE(""NSE:""&amp;$A35,""priceopen"")"),62.26)</f>
        <v/>
      </c>
      <c r="E35" s="12">
        <f>IFERROR(__xludf.DUMMYFUNCTION("GOOGLEFINANCE(""NSE:""&amp;$A35,""high"")"),65.4)</f>
        <v/>
      </c>
      <c r="F35" s="12">
        <f>IFERROR(__xludf.DUMMYFUNCTION("GOOGLEFINANCE(""NSE:""&amp;$A35,""low"")"),62.06)</f>
        <v/>
      </c>
      <c r="G35" s="12">
        <f>IFERROR(__xludf.DUMMYFUNCTION("IFERROR(INDEX(GOOGLEFINANCE(""NSE:""&amp;$A35,""close"",TODAY()),2,2),C35)"),65.25)</f>
        <v/>
      </c>
      <c r="H35" s="12">
        <f>IFERROR(__xludf.DUMMYFUNCTION("GOOGLEFINANCE(""NSE:""&amp;$A35,""closeyest"")"),62.35)</f>
        <v/>
      </c>
      <c r="I35" s="12">
        <f>IFERROR(C35-H35,"")</f>
        <v/>
      </c>
      <c r="J35" s="13">
        <f>IFERROR((C35-H35)/H35,"")</f>
        <v/>
      </c>
      <c r="K35" s="17">
        <f>IFERROR(__xludf.DUMMYFUNCTION("IFERROR(GOOGLEFINANCE(""NSE:""&amp;$A35,""marketcap""),"""")"),1.26783274693E11)</f>
        <v/>
      </c>
      <c r="L35" s="15">
        <f>IFERROR(K35/SUMIF($B$2:$B$214,B35,$K$2:$K$214),"")</f>
        <v/>
      </c>
      <c r="M35" s="16">
        <f>IFERROR(K35/SUM($K$2:$K$214),"")</f>
        <v/>
      </c>
      <c r="N35" t="n">
        <v>4</v>
      </c>
      <c r="O35" t="n">
        <v>1</v>
      </c>
      <c r="P35" s="19" t="n">
        <v>65.33</v>
      </c>
      <c r="R35" s="19" t="n">
        <v>49.78</v>
      </c>
      <c r="S35" t="inlineStr">
        <is>
          <t>NEUTRAL</t>
        </is>
      </c>
      <c r="T35" s="19" t="n">
        <v>48.13</v>
      </c>
      <c r="V35" t="n">
        <v>71.09999999999999</v>
      </c>
    </row>
    <row r="36" ht="15.75" customHeight="1" s="23">
      <c r="A36" s="10" t="inlineStr">
        <is>
          <t>UNIONBANK</t>
        </is>
      </c>
      <c r="B36" s="11" t="inlineStr">
        <is>
          <t>Banks</t>
        </is>
      </c>
      <c r="C36" s="12">
        <f>IFERROR(__xludf.DUMMYFUNCTION("GOOGLEFINANCE(""NSE:""&amp;$A36,""price"")"),172.22)</f>
        <v/>
      </c>
      <c r="D36" s="12">
        <f>IFERROR(__xludf.DUMMYFUNCTION("GOOGLEFINANCE(""NSE:""&amp;$A36,""priceopen"")"),171.33)</f>
        <v/>
      </c>
      <c r="E36" s="12">
        <f>IFERROR(__xludf.DUMMYFUNCTION("GOOGLEFINANCE(""NSE:""&amp;$A36,""high"")"),173.6)</f>
        <v/>
      </c>
      <c r="F36" s="12">
        <f>IFERROR(__xludf.DUMMYFUNCTION("GOOGLEFINANCE(""NSE:""&amp;$A36,""low"")"),169.07)</f>
        <v/>
      </c>
      <c r="G36" s="12">
        <f>IFERROR(__xludf.DUMMYFUNCTION("IFERROR(INDEX(GOOGLEFINANCE(""NSE:""&amp;$A36,""close"",TODAY()),2,2),C36)"),172.22)</f>
        <v/>
      </c>
      <c r="H36" s="12">
        <f>IFERROR(__xludf.DUMMYFUNCTION("GOOGLEFINANCE(""NSE:""&amp;$A36,""closeyest"")"),171.33)</f>
        <v/>
      </c>
      <c r="I36" s="12">
        <f>IFERROR(C36-H36,"")</f>
        <v/>
      </c>
      <c r="J36" s="13">
        <f>IFERROR((C36-H36)/H36,"")</f>
        <v/>
      </c>
      <c r="K36" s="17">
        <f>IFERROR(__xludf.DUMMYFUNCTION("IFERROR(GOOGLEFINANCE(""NSE:""&amp;$A36,""marketcap""),"""")"),1.309590464E12)</f>
        <v/>
      </c>
      <c r="L36" s="15">
        <f>IFERROR(K36/SUMIF($B$2:$B$214,B36,$K$2:$K$214),"")</f>
        <v/>
      </c>
      <c r="M36" s="16">
        <f>IFERROR(K36/SUM($K$2:$K$214),"")</f>
        <v/>
      </c>
      <c r="N36" t="n">
        <v>1</v>
      </c>
      <c r="O36" t="n">
        <v>0</v>
      </c>
      <c r="P36" s="19" t="n">
        <v>66.29000000000001</v>
      </c>
      <c r="R36" s="19" t="n">
        <v>57.43</v>
      </c>
      <c r="S36" t="inlineStr">
        <is>
          <t>NEUTRAL</t>
        </is>
      </c>
      <c r="T36" s="19" t="n">
        <v>41.91</v>
      </c>
      <c r="V36" t="n">
        <v>58.4</v>
      </c>
    </row>
    <row r="37" ht="15.75" customHeight="1" s="23">
      <c r="A37" s="10" t="inlineStr">
        <is>
          <t>YESBANK</t>
        </is>
      </c>
      <c r="B37" s="11" t="inlineStr">
        <is>
          <t>Banks</t>
        </is>
      </c>
      <c r="C37" s="12">
        <f>IFERROR(__xludf.DUMMYFUNCTION("GOOGLEFINANCE(""NSE:""&amp;$A37,""price"")"),20.85)</f>
        <v/>
      </c>
      <c r="D37" s="12">
        <f>IFERROR(__xludf.DUMMYFUNCTION("GOOGLEFINANCE(""NSE:""&amp;$A37,""priceopen"")"),20.44)</f>
        <v/>
      </c>
      <c r="E37" s="12">
        <f>IFERROR(__xludf.DUMMYFUNCTION("GOOGLEFINANCE(""NSE:""&amp;$A37,""high"")"),20.86)</f>
        <v/>
      </c>
      <c r="F37" s="12">
        <f>IFERROR(__xludf.DUMMYFUNCTION("GOOGLEFINANCE(""NSE:""&amp;$A37,""low"")"),20.35)</f>
        <v/>
      </c>
      <c r="G37" s="12">
        <f>IFERROR(__xludf.DUMMYFUNCTION("IFERROR(INDEX(GOOGLEFINANCE(""NSE:""&amp;$A37,""close"",TODAY()),2,2),C37)"),20.85)</f>
        <v/>
      </c>
      <c r="H37" s="12">
        <f>IFERROR(__xludf.DUMMYFUNCTION("GOOGLEFINANCE(""NSE:""&amp;$A37,""closeyest"")"),20.44)</f>
        <v/>
      </c>
      <c r="I37" s="12">
        <f>IFERROR(C37-H37,"")</f>
        <v/>
      </c>
      <c r="J37" s="13">
        <f>IFERROR((C37-H37)/H37,"")</f>
        <v/>
      </c>
      <c r="K37" s="17">
        <f>IFERROR(__xludf.DUMMYFUNCTION("IFERROR(GOOGLEFINANCE(""NSE:""&amp;$A37,""marketcap""),"""")"),6.53223951025E11)</f>
        <v/>
      </c>
      <c r="L37" s="15">
        <f>IFERROR(K37/SUMIF($B$2:$B$214,B37,$K$2:$K$214),"")</f>
        <v/>
      </c>
      <c r="M37" s="16">
        <f>IFERROR(K37/SUM($K$2:$K$214),"")</f>
        <v/>
      </c>
      <c r="N37" t="n">
        <v>0</v>
      </c>
      <c r="O37" t="n">
        <v>3</v>
      </c>
      <c r="P37" s="19" t="n">
        <v>55.24</v>
      </c>
      <c r="R37" s="19" t="n">
        <v>30.87</v>
      </c>
      <c r="S37" t="inlineStr">
        <is>
          <t>NEUTRAL</t>
        </is>
      </c>
      <c r="T37" s="19" t="n">
        <v>29.1</v>
      </c>
      <c r="V37" t="n">
        <v>77.94</v>
      </c>
    </row>
    <row r="38" ht="15.75" customHeight="1" s="23">
      <c r="A38" s="10" t="inlineStr">
        <is>
          <t>ABB</t>
        </is>
      </c>
      <c r="B38" s="11" t="inlineStr">
        <is>
          <t>Capital Goods</t>
        </is>
      </c>
      <c r="C38" s="12">
        <f>IFERROR(__xludf.DUMMYFUNCTION("GOOGLEFINANCE(""NSE:""&amp;$A38,""price"")"),6977.5)</f>
        <v/>
      </c>
      <c r="D38" s="12">
        <f>IFERROR(__xludf.DUMMYFUNCTION("GOOGLEFINANCE(""NSE:""&amp;$A38,""priceopen"")"),6805.0)</f>
        <v/>
      </c>
      <c r="E38" s="12">
        <f>IFERROR(__xludf.DUMMYFUNCTION("GOOGLEFINANCE(""NSE:""&amp;$A38,""high"")"),6977.5)</f>
        <v/>
      </c>
      <c r="F38" s="12">
        <f>IFERROR(__xludf.DUMMYFUNCTION("GOOGLEFINANCE(""NSE:""&amp;$A38,""low"")"),6708.0)</f>
        <v/>
      </c>
      <c r="G38" s="12">
        <f>IFERROR(__xludf.DUMMYFUNCTION("IFERROR(INDEX(GOOGLEFINANCE(""NSE:""&amp;$A38,""close"",TODAY()),2,2),C38)"),6977.5)</f>
        <v/>
      </c>
      <c r="H38" s="12">
        <f>IFERROR(__xludf.DUMMYFUNCTION("GOOGLEFINANCE(""NSE:""&amp;$A38,""closeyest"")"),6855.5)</f>
        <v/>
      </c>
      <c r="I38" s="12">
        <f>IFERROR(C38-H38,"")</f>
        <v/>
      </c>
      <c r="J38" s="13">
        <f>IFERROR((C38-H38)/H38,"")</f>
        <v/>
      </c>
      <c r="K38" s="17">
        <f>IFERROR(__xludf.DUMMYFUNCTION("IFERROR(GOOGLEFINANCE(""NSE:""&amp;$A38,""marketcap""),"""")"),1.47859016325E12)</f>
        <v/>
      </c>
      <c r="L38" s="15">
        <f>IFERROR(K38/SUMIF($B$2:$B$214,B38,$K$2:$K$214),"")</f>
        <v/>
      </c>
      <c r="M38" s="16">
        <f>IFERROR(K38/SUM($K$2:$K$214),"")</f>
        <v/>
      </c>
      <c r="N38" t="n">
        <v>3</v>
      </c>
      <c r="O38" t="n">
        <v>0</v>
      </c>
      <c r="P38" s="19" t="n">
        <v>72.59</v>
      </c>
      <c r="R38" s="19" t="n">
        <v>54.69</v>
      </c>
      <c r="S38" t="inlineStr">
        <is>
          <t>NEUTRAL</t>
        </is>
      </c>
      <c r="T38" s="19" t="n">
        <v>46.05</v>
      </c>
      <c r="V38" t="n">
        <v>66.40000000000001</v>
      </c>
    </row>
    <row r="39" ht="15.75" customHeight="1" s="23">
      <c r="A39" s="10" t="inlineStr">
        <is>
          <t>BHEL</t>
        </is>
      </c>
      <c r="B39" s="11" t="inlineStr">
        <is>
          <t>Capital Goods</t>
        </is>
      </c>
      <c r="C39" s="12">
        <f>IFERROR(__xludf.DUMMYFUNCTION("GOOGLEFINANCE(""NSE:""&amp;$A39,""price"")"),442.35)</f>
        <v/>
      </c>
      <c r="D39" s="12">
        <f>IFERROR(__xludf.DUMMYFUNCTION("GOOGLEFINANCE(""NSE:""&amp;$A39,""priceopen"")"),436.8)</f>
        <v/>
      </c>
      <c r="E39" s="12">
        <f>IFERROR(__xludf.DUMMYFUNCTION("GOOGLEFINANCE(""NSE:""&amp;$A39,""high"")"),442.35)</f>
        <v/>
      </c>
      <c r="F39" s="12">
        <f>IFERROR(__xludf.DUMMYFUNCTION("GOOGLEFINANCE(""NSE:""&amp;$A39,""low"")"),426.15)</f>
        <v/>
      </c>
      <c r="G39" s="12">
        <f>IFERROR(__xludf.DUMMYFUNCTION("IFERROR(INDEX(GOOGLEFINANCE(""NSE:""&amp;$A39,""close"",TODAY()),2,2),C39)"),442.35)</f>
        <v/>
      </c>
      <c r="H39" s="12">
        <f>IFERROR(__xludf.DUMMYFUNCTION("GOOGLEFINANCE(""NSE:""&amp;$A39,""closeyest"")"),439.9)</f>
        <v/>
      </c>
      <c r="I39" s="12">
        <f>IFERROR(C39-H39,"")</f>
        <v/>
      </c>
      <c r="J39" s="13">
        <f>IFERROR((C39-H39)/H39,"")</f>
        <v/>
      </c>
      <c r="K39" s="17">
        <f>IFERROR(__xludf.DUMMYFUNCTION("IFERROR(GOOGLEFINANCE(""NSE:""&amp;$A39,""marketcap""),"""")"),1.538237792E12)</f>
        <v/>
      </c>
      <c r="L39" s="15">
        <f>IFERROR(K39/SUMIF($B$2:$B$214,B39,$K$2:$K$214),"")</f>
        <v/>
      </c>
      <c r="M39" s="16">
        <f>IFERROR(K39/SUM($K$2:$K$214),"")</f>
        <v/>
      </c>
      <c r="N39" t="n">
        <v>3</v>
      </c>
      <c r="O39" t="n">
        <v>0</v>
      </c>
      <c r="P39" s="19" t="n">
        <v>80.36</v>
      </c>
      <c r="R39" s="19" t="n">
        <v>71.45999999999999</v>
      </c>
      <c r="S39" t="inlineStr">
        <is>
          <t>NEUTRAL</t>
        </is>
      </c>
      <c r="T39" s="19" t="n">
        <v>67.73999999999999</v>
      </c>
      <c r="V39" t="n">
        <v>72.52</v>
      </c>
    </row>
    <row r="40" ht="15.75" customHeight="1" s="23">
      <c r="A40" s="10" t="inlineStr">
        <is>
          <t>CGPOWER</t>
        </is>
      </c>
      <c r="B40" s="11" t="inlineStr">
        <is>
          <t>Capital Goods</t>
        </is>
      </c>
      <c r="C40" s="12">
        <f>IFERROR(__xludf.DUMMYFUNCTION("GOOGLEFINANCE(""NSE:""&amp;$A40,""price"")"),854.0)</f>
        <v/>
      </c>
      <c r="D40" s="12">
        <f>IFERROR(__xludf.DUMMYFUNCTION("GOOGLEFINANCE(""NSE:""&amp;$A40,""priceopen"")"),851.0)</f>
        <v/>
      </c>
      <c r="E40" s="12">
        <f>IFERROR(__xludf.DUMMYFUNCTION("GOOGLEFINANCE(""NSE:""&amp;$A40,""high"")"),854.6)</f>
        <v/>
      </c>
      <c r="F40" s="12">
        <f>IFERROR(__xludf.DUMMYFUNCTION("GOOGLEFINANCE(""NSE:""&amp;$A40,""low"")"),834.35)</f>
        <v/>
      </c>
      <c r="G40" s="12">
        <f>IFERROR(__xludf.DUMMYFUNCTION("IFERROR(INDEX(GOOGLEFINANCE(""NSE:""&amp;$A40,""close"",TODAY()),2,2),C40)"),854.0)</f>
        <v/>
      </c>
      <c r="H40" s="12">
        <f>IFERROR(__xludf.DUMMYFUNCTION("GOOGLEFINANCE(""NSE:""&amp;$A40,""closeyest"")"),867.5)</f>
        <v/>
      </c>
      <c r="I40" s="12">
        <f>IFERROR(C40-H40,"")</f>
        <v/>
      </c>
      <c r="J40" s="13">
        <f>IFERROR((C40-H40)/H40,"")</f>
        <v/>
      </c>
      <c r="K40" s="17">
        <f>IFERROR(__xludf.DUMMYFUNCTION("IFERROR(GOOGLEFINANCE(""NSE:""&amp;$A40,""marketcap""),"""")"),1.30549944E12)</f>
        <v/>
      </c>
      <c r="L40" s="15">
        <f>IFERROR(K40/SUMIF($B$2:$B$214,B40,$K$2:$K$214),"")</f>
        <v/>
      </c>
      <c r="M40" s="16">
        <f>IFERROR(K40/SUM($K$2:$K$214),"")</f>
        <v/>
      </c>
      <c r="N40" t="n">
        <v>0</v>
      </c>
      <c r="O40" t="n">
        <v>2</v>
      </c>
      <c r="P40" s="19" t="n">
        <v>59.23</v>
      </c>
      <c r="R40" s="19" t="n">
        <v>36.99</v>
      </c>
      <c r="S40" t="inlineStr">
        <is>
          <t>NEUTRAL</t>
        </is>
      </c>
      <c r="T40" s="19" t="n">
        <v>41.56</v>
      </c>
      <c r="V40" t="n">
        <v>45.37</v>
      </c>
    </row>
    <row r="41" ht="15.75" customHeight="1" s="23">
      <c r="A41" s="10" t="inlineStr">
        <is>
          <t>CUMMINSIND</t>
        </is>
      </c>
      <c r="B41" s="11" t="inlineStr">
        <is>
          <t>Capital Goods</t>
        </is>
      </c>
      <c r="C41" s="12">
        <f>IFERROR(__xludf.DUMMYFUNCTION("GOOGLEFINANCE(""NSE:""&amp;$A41,""price"")"),4834.6)</f>
        <v/>
      </c>
      <c r="D41" s="12">
        <f>IFERROR(__xludf.DUMMYFUNCTION("GOOGLEFINANCE(""NSE:""&amp;$A41,""priceopen"")"),4821.0)</f>
        <v/>
      </c>
      <c r="E41" s="12">
        <f>IFERROR(__xludf.DUMMYFUNCTION("GOOGLEFINANCE(""NSE:""&amp;$A41,""high"")"),4834.6)</f>
        <v/>
      </c>
      <c r="F41" s="12">
        <f>IFERROR(__xludf.DUMMYFUNCTION("GOOGLEFINANCE(""NSE:""&amp;$A41,""low"")"),4738.5)</f>
        <v/>
      </c>
      <c r="G41" s="12">
        <f>IFERROR(__xludf.DUMMYFUNCTION("IFERROR(INDEX(GOOGLEFINANCE(""NSE:""&amp;$A41,""close"",TODAY()),2,2),C41)"),4834.6)</f>
        <v/>
      </c>
      <c r="H41" s="12">
        <f>IFERROR(__xludf.DUMMYFUNCTION("GOOGLEFINANCE(""NSE:""&amp;$A41,""closeyest"")"),4835.0)</f>
        <v/>
      </c>
      <c r="I41" s="12">
        <f>IFERROR(C41-H41,"")</f>
        <v/>
      </c>
      <c r="J41" s="13">
        <f>IFERROR((C41-H41)/H41,"")</f>
        <v/>
      </c>
      <c r="K41" s="17">
        <f>IFERROR(__xludf.DUMMYFUNCTION("IFERROR(GOOGLEFINANCE(""NSE:""&amp;$A41,""marketcap""),"""")"),1.34015114707E12)</f>
        <v/>
      </c>
      <c r="L41" s="15">
        <f>IFERROR(K41/SUMIF($B$2:$B$214,B41,$K$2:$K$214),"")</f>
        <v/>
      </c>
      <c r="M41" s="16">
        <f>IFERROR(K41/SUM($K$2:$K$214),"")</f>
        <v/>
      </c>
      <c r="N41" t="n">
        <v>2</v>
      </c>
      <c r="O41" t="n">
        <v>2</v>
      </c>
      <c r="P41" s="19" t="n">
        <v>60.86</v>
      </c>
      <c r="R41" s="19" t="n">
        <v>21.8</v>
      </c>
      <c r="S41" t="inlineStr">
        <is>
          <t>NEUTRAL</t>
        </is>
      </c>
      <c r="T41" s="19" t="n">
        <v>36.06</v>
      </c>
      <c r="V41" t="n">
        <v>37.64</v>
      </c>
    </row>
    <row r="42" ht="15.75" customHeight="1" s="23">
      <c r="A42" s="10" t="inlineStr">
        <is>
          <t>ENRIN</t>
        </is>
      </c>
      <c r="B42" s="11" t="inlineStr">
        <is>
          <t>Capital Goods</t>
        </is>
      </c>
      <c r="C42" s="12">
        <f>IFERROR(__xludf.DUMMYFUNCTION("GOOGLEFINANCE(""NSE:""&amp;$A42,""price"")"),3123.3)</f>
        <v/>
      </c>
      <c r="D42" s="12">
        <f>IFERROR(__xludf.DUMMYFUNCTION("GOOGLEFINANCE(""NSE:""&amp;$A42,""priceopen"")"),3075.0)</f>
        <v/>
      </c>
      <c r="E42" s="12">
        <f>IFERROR(__xludf.DUMMYFUNCTION("GOOGLEFINANCE(""NSE:""&amp;$A42,""high"")"),3124.9)</f>
        <v/>
      </c>
      <c r="F42" s="12">
        <f>IFERROR(__xludf.DUMMYFUNCTION("GOOGLEFINANCE(""NSE:""&amp;$A42,""low"")"),3006.6)</f>
        <v/>
      </c>
      <c r="G42" s="12">
        <f>IFERROR(__xludf.DUMMYFUNCTION("IFERROR(INDEX(GOOGLEFINANCE(""NSE:""&amp;$A42,""close"",TODAY()),2,2),C42)"),3123.3)</f>
        <v/>
      </c>
      <c r="H42" s="12">
        <f>IFERROR(__xludf.DUMMYFUNCTION("GOOGLEFINANCE(""NSE:""&amp;$A42,""closeyest"")"),3118.1)</f>
        <v/>
      </c>
      <c r="I42" s="12">
        <f>IFERROR(C42-H42,"")</f>
        <v/>
      </c>
      <c r="J42" s="13">
        <f>IFERROR((C42-H42)/H42,"")</f>
        <v/>
      </c>
      <c r="K42" s="17">
        <f>IFERROR(__xludf.DUMMYFUNCTION("IFERROR(GOOGLEFINANCE(""NSE:""&amp;$A42,""marketcap""),"""")"),1.1172245524E12)</f>
        <v/>
      </c>
      <c r="L42" s="15">
        <f>IFERROR(K42/SUMIF($B$2:$B$214,B42,$K$2:$K$214),"")</f>
        <v/>
      </c>
      <c r="M42" s="16">
        <f>IFERROR(K42/SUM($K$2:$K$214),"")</f>
        <v/>
      </c>
      <c r="N42" t="n">
        <v>0</v>
      </c>
      <c r="O42" t="n">
        <v>4</v>
      </c>
      <c r="P42" s="19" t="n">
        <v>47.3</v>
      </c>
      <c r="R42" s="19" t="n">
        <v>39.66</v>
      </c>
      <c r="S42" t="inlineStr">
        <is>
          <t>BEARISH</t>
        </is>
      </c>
      <c r="T42" s="19" t="n">
        <v>46.49</v>
      </c>
      <c r="V42" t="n">
        <v>52.72</v>
      </c>
    </row>
    <row r="43" ht="15.75" customHeight="1" s="23">
      <c r="A43" s="10" t="inlineStr">
        <is>
          <t>GVT&amp;D</t>
        </is>
      </c>
      <c r="B43" s="11" t="inlineStr">
        <is>
          <t>Capital Goods</t>
        </is>
      </c>
      <c r="C43" s="12">
        <f>IFERROR(__xludf.DUMMYFUNCTION("GOOGLEFINANCE(""NSE:""&amp;$A43,""price"")"),4191.2)</f>
        <v/>
      </c>
      <c r="D43" s="12">
        <f>IFERROR(__xludf.DUMMYFUNCTION("GOOGLEFINANCE(""NSE:""&amp;$A43,""priceopen"")"),4192.8)</f>
        <v/>
      </c>
      <c r="E43" s="12">
        <f>IFERROR(__xludf.DUMMYFUNCTION("GOOGLEFINANCE(""NSE:""&amp;$A43,""high"")"),4211.0)</f>
        <v/>
      </c>
      <c r="F43" s="12">
        <f>IFERROR(__xludf.DUMMYFUNCTION("GOOGLEFINANCE(""NSE:""&amp;$A43,""low"")"),4066.0)</f>
        <v/>
      </c>
      <c r="G43" s="12">
        <f>IFERROR(__xludf.DUMMYFUNCTION("IFERROR(INDEX(GOOGLEFINANCE(""NSE:""&amp;$A43,""close"",TODAY()),2,2),C43)"),4191.2)</f>
        <v/>
      </c>
      <c r="H43" s="12">
        <f>IFERROR(__xludf.DUMMYFUNCTION("GOOGLEFINANCE(""NSE:""&amp;$A43,""closeyest"")"),4254.0)</f>
        <v/>
      </c>
      <c r="I43" s="12">
        <f>IFERROR(C43-H43,"")</f>
        <v/>
      </c>
      <c r="J43" s="13">
        <f>IFERROR((C43-H43)/H43,"")</f>
        <v/>
      </c>
      <c r="K43" s="17">
        <f>IFERROR(__xludf.DUMMYFUNCTION("IFERROR(GOOGLEFINANCE(""NSE:""&amp;$A43,""marketcap""),"""")"),1.089222E12)</f>
        <v/>
      </c>
      <c r="L43" s="15">
        <f>IFERROR(K43/SUMIF($B$2:$B$214,B43,$K$2:$K$214),"")</f>
        <v/>
      </c>
      <c r="M43" s="16">
        <f>IFERROR(K43/SUM($K$2:$K$214),"")</f>
        <v/>
      </c>
      <c r="N43" t="n">
        <v>0</v>
      </c>
      <c r="O43" t="n">
        <v>3</v>
      </c>
      <c r="P43" s="19" t="n">
        <v>66.47</v>
      </c>
      <c r="R43" s="19" t="n">
        <v>36.91</v>
      </c>
      <c r="S43" t="inlineStr">
        <is>
          <t>NEUTRAL</t>
        </is>
      </c>
      <c r="T43" s="19" t="n">
        <v>34.55</v>
      </c>
      <c r="V43" t="n">
        <v>40.42</v>
      </c>
    </row>
    <row r="44" ht="15.75" customHeight="1" s="23">
      <c r="A44" s="10" t="inlineStr">
        <is>
          <t>KEI</t>
        </is>
      </c>
      <c r="B44" s="11" t="inlineStr">
        <is>
          <t>Capital Goods</t>
        </is>
      </c>
      <c r="C44" s="12">
        <f>IFERROR(__xludf.DUMMYFUNCTION("GOOGLEFINANCE(""NSE:""&amp;$A44,""price"")"),4640.6)</f>
        <v/>
      </c>
      <c r="D44" s="12">
        <f>IFERROR(__xludf.DUMMYFUNCTION("GOOGLEFINANCE(""NSE:""&amp;$A44,""priceopen"")"),4650.0)</f>
        <v/>
      </c>
      <c r="E44" s="12">
        <f>IFERROR(__xludf.DUMMYFUNCTION("GOOGLEFINANCE(""NSE:""&amp;$A44,""high"")"),4650.0)</f>
        <v/>
      </c>
      <c r="F44" s="12">
        <f>IFERROR(__xludf.DUMMYFUNCTION("GOOGLEFINANCE(""NSE:""&amp;$A44,""low"")"),4502.2)</f>
        <v/>
      </c>
      <c r="G44" s="12">
        <f>IFERROR(__xludf.DUMMYFUNCTION("IFERROR(INDEX(GOOGLEFINANCE(""NSE:""&amp;$A44,""close"",TODAY()),2,2),C44)"),4640.6)</f>
        <v/>
      </c>
      <c r="H44" s="12">
        <f>IFERROR(__xludf.DUMMYFUNCTION("GOOGLEFINANCE(""NSE:""&amp;$A44,""closeyest"")"),4654.2)</f>
        <v/>
      </c>
      <c r="I44" s="12">
        <f>IFERROR(C44-H44,"")</f>
        <v/>
      </c>
      <c r="J44" s="13">
        <f>IFERROR((C44-H44)/H44,"")</f>
        <v/>
      </c>
      <c r="K44" s="17">
        <f>IFERROR(__xludf.DUMMYFUNCTION("IFERROR(GOOGLEFINANCE(""NSE:""&amp;$A44,""marketcap""),"""")"),4.4413413685E11)</f>
        <v/>
      </c>
      <c r="L44" s="15">
        <f>IFERROR(K44/SUMIF($B$2:$B$214,B44,$K$2:$K$214),"")</f>
        <v/>
      </c>
      <c r="M44" s="16">
        <f>IFERROR(K44/SUM($K$2:$K$214),"")</f>
        <v/>
      </c>
      <c r="N44" t="n">
        <v>2</v>
      </c>
      <c r="O44" t="n">
        <v>1</v>
      </c>
      <c r="P44" s="19" t="n">
        <v>55.78</v>
      </c>
      <c r="R44" s="19" t="n">
        <v>40.83</v>
      </c>
      <c r="S44" t="inlineStr">
        <is>
          <t>NEUTRAL</t>
        </is>
      </c>
      <c r="T44" s="19" t="n">
        <v>45.95</v>
      </c>
      <c r="V44" t="n">
        <v>49.26</v>
      </c>
    </row>
    <row r="45" ht="15.75" customHeight="1" s="23">
      <c r="A45" s="10" t="inlineStr">
        <is>
          <t>LT</t>
        </is>
      </c>
      <c r="B45" s="11" t="inlineStr">
        <is>
          <t>Capital Goods</t>
        </is>
      </c>
      <c r="C45" s="12">
        <f>IFERROR(__xludf.DUMMYFUNCTION("GOOGLEFINANCE(""NSE:""&amp;$A45,""price"")"),3675.0)</f>
        <v/>
      </c>
      <c r="D45" s="12">
        <f>IFERROR(__xludf.DUMMYFUNCTION("GOOGLEFINANCE(""NSE:""&amp;$A45,""priceopen"")"),3627.5)</f>
        <v/>
      </c>
      <c r="E45" s="12">
        <f>IFERROR(__xludf.DUMMYFUNCTION("GOOGLEFINANCE(""NSE:""&amp;$A45,""high"")"),3678.0)</f>
        <v/>
      </c>
      <c r="F45" s="12">
        <f>IFERROR(__xludf.DUMMYFUNCTION("GOOGLEFINANCE(""NSE:""&amp;$A45,""low"")"),3592.9)</f>
        <v/>
      </c>
      <c r="G45" s="12">
        <f>IFERROR(__xludf.DUMMYFUNCTION("IFERROR(INDEX(GOOGLEFINANCE(""NSE:""&amp;$A45,""close"",TODAY()),2,2),C45)"),3675.0)</f>
        <v/>
      </c>
      <c r="H45" s="12">
        <f>IFERROR(__xludf.DUMMYFUNCTION("GOOGLEFINANCE(""NSE:""&amp;$A45,""closeyest"")"),3627.5)</f>
        <v/>
      </c>
      <c r="I45" s="12">
        <f>IFERROR(C45-H45,"")</f>
        <v/>
      </c>
      <c r="J45" s="13">
        <f>IFERROR((C45-H45)/H45,"")</f>
        <v/>
      </c>
      <c r="K45" s="17">
        <f>IFERROR(__xludf.DUMMYFUNCTION("IFERROR(GOOGLEFINANCE(""NSE:""&amp;$A45,""marketcap""),"""")"),5.0535513E12)</f>
        <v/>
      </c>
      <c r="L45" s="15">
        <f>IFERROR(K45/SUMIF($B$2:$B$214,B45,$K$2:$K$214),"")</f>
        <v/>
      </c>
      <c r="M45" s="16">
        <f>IFERROR(K45/SUM($K$2:$K$214),"")</f>
        <v/>
      </c>
      <c r="N45" t="n">
        <v>0</v>
      </c>
      <c r="O45" t="n">
        <v>3</v>
      </c>
      <c r="P45" s="19" t="n">
        <v>51.21</v>
      </c>
      <c r="R45" s="19" t="n">
        <v>33.81</v>
      </c>
      <c r="S45" t="inlineStr">
        <is>
          <t>NEUTRAL</t>
        </is>
      </c>
      <c r="T45" s="19" t="n">
        <v>30.8</v>
      </c>
      <c r="V45" t="n">
        <v>52.91</v>
      </c>
    </row>
    <row r="46" ht="15.75" customHeight="1" s="23">
      <c r="A46" s="10" t="inlineStr">
        <is>
          <t>POLYCAB</t>
        </is>
      </c>
      <c r="B46" s="11" t="inlineStr">
        <is>
          <t>Capital Goods</t>
        </is>
      </c>
      <c r="C46" s="12">
        <f>IFERROR(__xludf.DUMMYFUNCTION("GOOGLEFINANCE(""NSE:""&amp;$A46,""price"")"),8290.0)</f>
        <v/>
      </c>
      <c r="D46" s="12">
        <f>IFERROR(__xludf.DUMMYFUNCTION("GOOGLEFINANCE(""NSE:""&amp;$A46,""priceopen"")"),8250.0)</f>
        <v/>
      </c>
      <c r="E46" s="12">
        <f>IFERROR(__xludf.DUMMYFUNCTION("GOOGLEFINANCE(""NSE:""&amp;$A46,""high"")"),8324.0)</f>
        <v/>
      </c>
      <c r="F46" s="12">
        <f>IFERROR(__xludf.DUMMYFUNCTION("GOOGLEFINANCE(""NSE:""&amp;$A46,""low"")"),7955.0)</f>
        <v/>
      </c>
      <c r="G46" s="12">
        <f>IFERROR(__xludf.DUMMYFUNCTION("IFERROR(INDEX(GOOGLEFINANCE(""NSE:""&amp;$A46,""close"",TODAY()),2,2),C46)"),8290.0)</f>
        <v/>
      </c>
      <c r="H46" s="12">
        <f>IFERROR(__xludf.DUMMYFUNCTION("GOOGLEFINANCE(""NSE:""&amp;$A46,""closeyest"")"),8405.0)</f>
        <v/>
      </c>
      <c r="I46" s="12">
        <f>IFERROR(C46-H46,"")</f>
        <v/>
      </c>
      <c r="J46" s="13">
        <f>IFERROR((C46-H46)/H46,"")</f>
        <v/>
      </c>
      <c r="K46" s="17">
        <f>IFERROR(__xludf.DUMMYFUNCTION("IFERROR(GOOGLEFINANCE(""NSE:""&amp;$A46,""marketcap""),"""")"),1.244361566E12)</f>
        <v/>
      </c>
      <c r="L46" s="15">
        <f>IFERROR(K46/SUMIF($B$2:$B$214,B46,$K$2:$K$214),"")</f>
        <v/>
      </c>
      <c r="M46" s="16">
        <f>IFERROR(K46/SUM($K$2:$K$214),"")</f>
        <v/>
      </c>
      <c r="N46" t="n">
        <v>2</v>
      </c>
      <c r="O46" t="n">
        <v>2</v>
      </c>
      <c r="P46" s="19" t="n">
        <v>55.8</v>
      </c>
      <c r="R46" s="19" t="n">
        <v>34.91</v>
      </c>
      <c r="S46" t="inlineStr">
        <is>
          <t>NEUTRAL</t>
        </is>
      </c>
      <c r="T46" s="19" t="n">
        <v>47.08</v>
      </c>
      <c r="V46" t="n">
        <v>47.1</v>
      </c>
    </row>
    <row r="47" ht="15.75" customHeight="1" s="23">
      <c r="A47" s="10" t="inlineStr">
        <is>
          <t>POWERINDIA</t>
        </is>
      </c>
      <c r="B47" s="11" t="inlineStr">
        <is>
          <t>Capital Goods</t>
        </is>
      </c>
      <c r="C47" s="12">
        <f>IFERROR(__xludf.DUMMYFUNCTION("GOOGLEFINANCE(""NSE:""&amp;$A47,""price"")"),30250.0)</f>
        <v/>
      </c>
      <c r="D47" s="12">
        <f>IFERROR(__xludf.DUMMYFUNCTION("GOOGLEFINANCE(""NSE:""&amp;$A47,""priceopen"")"),30510.0)</f>
        <v/>
      </c>
      <c r="E47" s="12">
        <f>IFERROR(__xludf.DUMMYFUNCTION("GOOGLEFINANCE(""NSE:""&amp;$A47,""high"")"),30590.0)</f>
        <v/>
      </c>
      <c r="F47" s="12">
        <f>IFERROR(__xludf.DUMMYFUNCTION("GOOGLEFINANCE(""NSE:""&amp;$A47,""low"")"),29580.0)</f>
        <v/>
      </c>
      <c r="G47" s="12">
        <f>IFERROR(__xludf.DUMMYFUNCTION("IFERROR(INDEX(GOOGLEFINANCE(""NSE:""&amp;$A47,""close"",TODAY()),2,2),C47)"),30250.0)</f>
        <v/>
      </c>
      <c r="H47" s="12">
        <f>IFERROR(__xludf.DUMMYFUNCTION("GOOGLEFINANCE(""NSE:""&amp;$A47,""closeyest"")"),31290.0)</f>
        <v/>
      </c>
      <c r="I47" s="12">
        <f>IFERROR(C47-H47,"")</f>
        <v/>
      </c>
      <c r="J47" s="13">
        <f>IFERROR((C47-H47)/H47,"")</f>
        <v/>
      </c>
      <c r="K47" s="17">
        <f>IFERROR(__xludf.DUMMYFUNCTION("IFERROR(GOOGLEFINANCE(""NSE:""&amp;$A47,""marketcap""),"""")"),1.356266531841E12)</f>
        <v/>
      </c>
      <c r="L47" s="15">
        <f>IFERROR(K47/SUMIF($B$2:$B$214,B47,$K$2:$K$214),"")</f>
        <v/>
      </c>
      <c r="M47" s="16">
        <f>IFERROR(K47/SUM($K$2:$K$214),"")</f>
        <v/>
      </c>
      <c r="N47" t="n">
        <v>0</v>
      </c>
      <c r="O47" t="n">
        <v>1</v>
      </c>
      <c r="P47" s="19" t="n">
        <v>63.01</v>
      </c>
      <c r="R47" s="19" t="n">
        <v>42.39</v>
      </c>
      <c r="S47" t="inlineStr">
        <is>
          <t>NEUTRAL</t>
        </is>
      </c>
      <c r="T47" s="19" t="n">
        <v>43.69</v>
      </c>
      <c r="V47" t="n">
        <v>33.46</v>
      </c>
    </row>
    <row r="48" ht="15.75" customHeight="1" s="23">
      <c r="A48" s="10" t="inlineStr">
        <is>
          <t>SIEMENS</t>
        </is>
      </c>
      <c r="B48" s="11" t="inlineStr">
        <is>
          <t>Capital Goods</t>
        </is>
      </c>
      <c r="C48" s="12">
        <f>IFERROR(__xludf.DUMMYFUNCTION("GOOGLEFINANCE(""NSE:""&amp;$A48,""price"")"),3742.0)</f>
        <v/>
      </c>
      <c r="D48" s="12">
        <f>IFERROR(__xludf.DUMMYFUNCTION("GOOGLEFINANCE(""NSE:""&amp;$A48,""priceopen"")"),3623.0)</f>
        <v/>
      </c>
      <c r="E48" s="12">
        <f>IFERROR(__xludf.DUMMYFUNCTION("GOOGLEFINANCE(""NSE:""&amp;$A48,""high"")"),3742.0)</f>
        <v/>
      </c>
      <c r="F48" s="12">
        <f>IFERROR(__xludf.DUMMYFUNCTION("GOOGLEFINANCE(""NSE:""&amp;$A48,""low"")"),3584.6)</f>
        <v/>
      </c>
      <c r="G48" s="12">
        <f>IFERROR(__xludf.DUMMYFUNCTION("IFERROR(INDEX(GOOGLEFINANCE(""NSE:""&amp;$A48,""close"",TODAY()),2,2),C48)"),3742.0)</f>
        <v/>
      </c>
      <c r="H48" s="12">
        <f>IFERROR(__xludf.DUMMYFUNCTION("GOOGLEFINANCE(""NSE:""&amp;$A48,""closeyest"")"),3654.0)</f>
        <v/>
      </c>
      <c r="I48" s="12">
        <f>IFERROR(C48-H48,"")</f>
        <v/>
      </c>
      <c r="J48" s="13">
        <f>IFERROR((C48-H48)/H48,"")</f>
        <v/>
      </c>
      <c r="K48" s="17">
        <f>IFERROR(__xludf.DUMMYFUNCTION("IFERROR(GOOGLEFINANCE(""NSE:""&amp;$A48,""marketcap""),"""")"),1.331421674E12)</f>
        <v/>
      </c>
      <c r="L48" s="15">
        <f>IFERROR(K48/SUMIF($B$2:$B$214,B48,$K$2:$K$214),"")</f>
        <v/>
      </c>
      <c r="M48" s="16">
        <f>IFERROR(K48/SUM($K$2:$K$214),"")</f>
        <v/>
      </c>
      <c r="N48" t="n">
        <v>2</v>
      </c>
      <c r="O48" t="n">
        <v>0</v>
      </c>
      <c r="P48" s="19" t="n">
        <v>60.84</v>
      </c>
      <c r="R48" s="19" t="n">
        <v>60.87</v>
      </c>
      <c r="S48" t="inlineStr">
        <is>
          <t>NEUTRAL</t>
        </is>
      </c>
      <c r="T48" s="19" t="n">
        <v>44.09</v>
      </c>
      <c r="V48" t="n">
        <v>61.45</v>
      </c>
    </row>
    <row r="49" ht="15.75" customHeight="1" s="23">
      <c r="A49" s="10" t="inlineStr">
        <is>
          <t>SOLARINDS</t>
        </is>
      </c>
      <c r="B49" s="11" t="inlineStr">
        <is>
          <t>Capital Goods</t>
        </is>
      </c>
      <c r="C49" s="12">
        <f>IFERROR(__xludf.DUMMYFUNCTION("GOOGLEFINANCE(""NSE:""&amp;$A49,""price"")"),20087.0)</f>
        <v/>
      </c>
      <c r="D49" s="12">
        <f>IFERROR(__xludf.DUMMYFUNCTION("GOOGLEFINANCE(""NSE:""&amp;$A49,""priceopen"")"),20394.0)</f>
        <v/>
      </c>
      <c r="E49" s="12">
        <f>IFERROR(__xludf.DUMMYFUNCTION("GOOGLEFINANCE(""NSE:""&amp;$A49,""high"")"),20398.0)</f>
        <v/>
      </c>
      <c r="F49" s="12">
        <f>IFERROR(__xludf.DUMMYFUNCTION("GOOGLEFINANCE(""NSE:""&amp;$A49,""low"")"),19961.0)</f>
        <v/>
      </c>
      <c r="G49" s="12">
        <f>IFERROR(__xludf.DUMMYFUNCTION("IFERROR(INDEX(GOOGLEFINANCE(""NSE:""&amp;$A49,""close"",TODAY()),2,2),C49)"),20087.0)</f>
        <v/>
      </c>
      <c r="H49" s="12">
        <f>IFERROR(__xludf.DUMMYFUNCTION("GOOGLEFINANCE(""NSE:""&amp;$A49,""closeyest"")"),20334.0)</f>
        <v/>
      </c>
      <c r="I49" s="12">
        <f>IFERROR(C49-H49,"")</f>
        <v/>
      </c>
      <c r="J49" s="13">
        <f>IFERROR((C49-H49)/H49,"")</f>
        <v/>
      </c>
      <c r="K49" s="17">
        <f>IFERROR(__xludf.DUMMYFUNCTION("IFERROR(GOOGLEFINANCE(""NSE:""&amp;$A49,""marketcap""),"""")"),1.81767383522E12)</f>
        <v/>
      </c>
      <c r="L49" s="15">
        <f>IFERROR(K49/SUMIF($B$2:$B$214,B49,$K$2:$K$214),"")</f>
        <v/>
      </c>
      <c r="M49" s="16">
        <f>IFERROR(K49/SUM($K$2:$K$214),"")</f>
        <v/>
      </c>
      <c r="N49" t="n">
        <v>1</v>
      </c>
      <c r="O49" t="n">
        <v>4</v>
      </c>
      <c r="P49" s="19" t="n">
        <v>71.52</v>
      </c>
      <c r="R49" s="19" t="n">
        <v>59.33</v>
      </c>
      <c r="S49" t="inlineStr">
        <is>
          <t>NEUTRAL</t>
        </is>
      </c>
      <c r="T49" s="19" t="n">
        <v>54.76</v>
      </c>
      <c r="V49" t="n">
        <v>42.83</v>
      </c>
    </row>
    <row r="50" ht="15.75" customHeight="1" s="23">
      <c r="A50" s="10" t="inlineStr">
        <is>
          <t>TIINDIA</t>
        </is>
      </c>
      <c r="B50" s="11" t="inlineStr">
        <is>
          <t>Capital Goods</t>
        </is>
      </c>
      <c r="C50" s="12">
        <f>IFERROR(__xludf.DUMMYFUNCTION("GOOGLEFINANCE(""NSE:""&amp;$A50,""price"")"),2194.9)</f>
        <v/>
      </c>
      <c r="D50" s="12">
        <f>IFERROR(__xludf.DUMMYFUNCTION("GOOGLEFINANCE(""NSE:""&amp;$A50,""priceopen"")"),2220.0)</f>
        <v/>
      </c>
      <c r="E50" s="12">
        <f>IFERROR(__xludf.DUMMYFUNCTION("GOOGLEFINANCE(""NSE:""&amp;$A50,""high"")"),2229.9)</f>
        <v/>
      </c>
      <c r="F50" s="12">
        <f>IFERROR(__xludf.DUMMYFUNCTION("GOOGLEFINANCE(""NSE:""&amp;$A50,""low"")"),2136.5)</f>
        <v/>
      </c>
      <c r="G50" s="12">
        <f>IFERROR(__xludf.DUMMYFUNCTION("IFERROR(INDEX(GOOGLEFINANCE(""NSE:""&amp;$A50,""close"",TODAY()),2,2),C50)"),2194.9)</f>
        <v/>
      </c>
      <c r="H50" s="12">
        <f>IFERROR(__xludf.DUMMYFUNCTION("GOOGLEFINANCE(""NSE:""&amp;$A50,""closeyest"")"),2214.0)</f>
        <v/>
      </c>
      <c r="I50" s="12">
        <f>IFERROR(C50-H50,"")</f>
        <v/>
      </c>
      <c r="J50" s="13">
        <f>IFERROR((C50-H50)/H50,"")</f>
        <v/>
      </c>
      <c r="K50" s="17">
        <f>IFERROR(__xludf.DUMMYFUNCTION("IFERROR(GOOGLEFINANCE(""NSE:""&amp;$A50,""marketcap""),"""")"),4.2563312E11)</f>
        <v/>
      </c>
      <c r="L50" s="15">
        <f>IFERROR(K50/SUMIF($B$2:$B$214,B50,$K$2:$K$214),"")</f>
        <v/>
      </c>
      <c r="M50" s="16">
        <f>IFERROR(K50/SUM($K$2:$K$214),"")</f>
        <v/>
      </c>
      <c r="N50" t="n">
        <v>0</v>
      </c>
      <c r="O50" t="n">
        <v>3</v>
      </c>
      <c r="P50" s="19" t="n">
        <v>38.31</v>
      </c>
      <c r="R50" s="19" t="n">
        <v>16.44</v>
      </c>
      <c r="S50" t="inlineStr">
        <is>
          <t>NEUTRAL</t>
        </is>
      </c>
      <c r="T50" s="19" t="n">
        <v>25.02</v>
      </c>
      <c r="V50" t="n">
        <v>51.69</v>
      </c>
    </row>
    <row r="51" ht="15.75" customHeight="1" s="23">
      <c r="A51" s="10" t="inlineStr">
        <is>
          <t>360ONE</t>
        </is>
      </c>
      <c r="B51" s="11" t="inlineStr">
        <is>
          <t>Capital Markets</t>
        </is>
      </c>
      <c r="C51" s="12">
        <f>IFERROR(__xludf.DUMMYFUNCTION("GOOGLEFINANCE(""NSE:""&amp;$A51,""price"")"),1077.5)</f>
        <v/>
      </c>
      <c r="D51" s="12">
        <f>IFERROR(__xludf.DUMMYFUNCTION("GOOGLEFINANCE(""NSE:""&amp;$A51,""priceopen"")"),1062.0)</f>
        <v/>
      </c>
      <c r="E51" s="12">
        <f>IFERROR(__xludf.DUMMYFUNCTION("GOOGLEFINANCE(""NSE:""&amp;$A51,""high"")"),1080.0)</f>
        <v/>
      </c>
      <c r="F51" s="12">
        <f>IFERROR(__xludf.DUMMYFUNCTION("GOOGLEFINANCE(""NSE:""&amp;$A51,""low"")"),1051.5)</f>
        <v/>
      </c>
      <c r="G51" s="12">
        <f>IFERROR(__xludf.DUMMYFUNCTION("IFERROR(INDEX(GOOGLEFINANCE(""NSE:""&amp;$A51,""close"",TODAY()),2,2),C51)"),1077.5)</f>
        <v/>
      </c>
      <c r="H51" s="12">
        <f>IFERROR(__xludf.DUMMYFUNCTION("GOOGLEFINANCE(""NSE:""&amp;$A51,""closeyest"")"),1068.7)</f>
        <v/>
      </c>
      <c r="I51" s="12">
        <f>IFERROR(C51-H51,"")</f>
        <v/>
      </c>
      <c r="J51" s="13">
        <f>IFERROR((C51-H51)/H51,"")</f>
        <v/>
      </c>
      <c r="K51" s="17">
        <f>IFERROR(__xludf.DUMMYFUNCTION("IFERROR(GOOGLEFINANCE(""NSE:""&amp;$A51,""marketcap""),"""")"),4.2249051176E11)</f>
        <v/>
      </c>
      <c r="L51" s="15">
        <f>IFERROR(K51/SUMIF($B$2:$B$214,B51,$K$2:$K$214),"")</f>
        <v/>
      </c>
      <c r="M51" s="16">
        <f>IFERROR(K51/SUM($K$2:$K$214),"")</f>
        <v/>
      </c>
      <c r="N51" t="n">
        <v>2</v>
      </c>
      <c r="O51" t="n">
        <v>2</v>
      </c>
      <c r="P51" s="19" t="n">
        <v>53.16</v>
      </c>
      <c r="R51" s="19" t="n">
        <v>39.26</v>
      </c>
      <c r="S51" t="inlineStr">
        <is>
          <t>NEUTRAL</t>
        </is>
      </c>
      <c r="T51" s="19" t="n">
        <v>38.66</v>
      </c>
      <c r="V51" t="n">
        <v>44.24</v>
      </c>
    </row>
    <row r="52" ht="15.75" customHeight="1" s="23">
      <c r="A52" s="10" t="inlineStr">
        <is>
          <t>ANANDRATHI</t>
        </is>
      </c>
      <c r="B52" s="11" t="inlineStr">
        <is>
          <t>Capital Markets</t>
        </is>
      </c>
      <c r="C52" s="12">
        <f>IFERROR(__xludf.DUMMYFUNCTION("GOOGLEFINANCE(""NSE:""&amp;$A52,""price"")"),2100.0)</f>
        <v/>
      </c>
      <c r="D52" s="12">
        <f>IFERROR(__xludf.DUMMYFUNCTION("GOOGLEFINANCE(""NSE:""&amp;$A52,""priceopen"")"),2087.4)</f>
        <v/>
      </c>
      <c r="E52" s="12">
        <f>IFERROR(__xludf.DUMMYFUNCTION("GOOGLEFINANCE(""NSE:""&amp;$A52,""high"")"),2110.0)</f>
        <v/>
      </c>
      <c r="F52" s="12">
        <f>IFERROR(__xludf.DUMMYFUNCTION("GOOGLEFINANCE(""NSE:""&amp;$A52,""low"")"),2069.5)</f>
        <v/>
      </c>
      <c r="G52" s="12">
        <f>IFERROR(__xludf.DUMMYFUNCTION("IFERROR(INDEX(GOOGLEFINANCE(""NSE:""&amp;$A52,""close"",TODAY()),2,2),C52)"),2100.0)</f>
        <v/>
      </c>
      <c r="H52" s="12">
        <f>IFERROR(__xludf.DUMMYFUNCTION("GOOGLEFINANCE(""NSE:""&amp;$A52,""closeyest"")"),2087.0)</f>
        <v/>
      </c>
      <c r="I52" s="12">
        <f>IFERROR(C52-H52,"")</f>
        <v/>
      </c>
      <c r="J52" s="13">
        <f>IFERROR((C52-H52)/H52,"")</f>
        <v/>
      </c>
      <c r="K52" s="17">
        <f>IFERROR(__xludf.DUMMYFUNCTION("IFERROR(GOOGLEFINANCE(""NSE:""&amp;$A52,""marketcap""),"""")"),3.4868652E11)</f>
        <v/>
      </c>
      <c r="L52" s="15">
        <f>IFERROR(K52/SUMIF($B$2:$B$214,B52,$K$2:$K$214),"")</f>
        <v/>
      </c>
      <c r="M52" s="16">
        <f>IFERROR(K52/SUM($K$2:$K$214),"")</f>
        <v/>
      </c>
      <c r="N52" t="n">
        <v>0</v>
      </c>
      <c r="O52" t="n">
        <v>1</v>
      </c>
      <c r="P52" s="19" t="n">
        <v>74.04000000000001</v>
      </c>
      <c r="R52" s="19" t="n">
        <v>47.41</v>
      </c>
      <c r="S52" t="inlineStr">
        <is>
          <t>NEUTRAL</t>
        </is>
      </c>
      <c r="T52" s="19" t="n">
        <v>42.76</v>
      </c>
      <c r="V52" t="n">
        <v>71.34</v>
      </c>
    </row>
    <row r="53" ht="15.75" customHeight="1" s="23">
      <c r="A53" s="10" t="inlineStr">
        <is>
          <t>ANGELONE</t>
        </is>
      </c>
      <c r="B53" s="11" t="inlineStr">
        <is>
          <t>Capital Markets</t>
        </is>
      </c>
      <c r="C53" s="12">
        <f>IFERROR(__xludf.DUMMYFUNCTION("GOOGLEFINANCE(""NSE:""&amp;$A53,""price"")"),310.0)</f>
        <v/>
      </c>
      <c r="D53" s="12">
        <f>IFERROR(__xludf.DUMMYFUNCTION("GOOGLEFINANCE(""NSE:""&amp;$A53,""priceopen"")"),305.0)</f>
        <v/>
      </c>
      <c r="E53" s="12">
        <f>IFERROR(__xludf.DUMMYFUNCTION("GOOGLEFINANCE(""NSE:""&amp;$A53,""high"")"),312.0)</f>
        <v/>
      </c>
      <c r="F53" s="12">
        <f>IFERROR(__xludf.DUMMYFUNCTION("GOOGLEFINANCE(""NSE:""&amp;$A53,""low"")"),299.75)</f>
        <v/>
      </c>
      <c r="G53" s="12">
        <f>IFERROR(__xludf.DUMMYFUNCTION("IFERROR(INDEX(GOOGLEFINANCE(""NSE:""&amp;$A53,""close"",TODAY()),2,2),C53)"),310.0)</f>
        <v/>
      </c>
      <c r="H53" s="12">
        <f>IFERROR(__xludf.DUMMYFUNCTION("GOOGLEFINANCE(""NSE:""&amp;$A53,""closeyest"")"),302.25)</f>
        <v/>
      </c>
      <c r="I53" s="12">
        <f>IFERROR(C53-H53,"")</f>
        <v/>
      </c>
      <c r="J53" s="13">
        <f>IFERROR((C53-H53)/H53,"")</f>
        <v/>
      </c>
      <c r="K53" s="17">
        <f>IFERROR(__xludf.DUMMYFUNCTION("IFERROR(GOOGLEFINANCE(""NSE:""&amp;$A53,""marketcap""),"""")"),2.79808976E10)</f>
        <v/>
      </c>
      <c r="L53" s="15">
        <f>IFERROR(K53/SUMIF($B$2:$B$214,B53,$K$2:$K$214),"")</f>
        <v/>
      </c>
      <c r="M53" s="16">
        <f>IFERROR(K53/SUM($K$2:$K$214),"")</f>
        <v/>
      </c>
      <c r="N53" t="n">
        <v>2</v>
      </c>
      <c r="O53" t="n">
        <v>4</v>
      </c>
      <c r="P53" s="19" t="n">
        <v>62.79</v>
      </c>
      <c r="R53" s="19" t="n">
        <v>35.35</v>
      </c>
      <c r="S53" t="inlineStr">
        <is>
          <t>NEUTRAL</t>
        </is>
      </c>
      <c r="T53" s="19" t="n">
        <v>53.48</v>
      </c>
      <c r="V53" t="n">
        <v>53.59</v>
      </c>
    </row>
    <row r="54" ht="15.75" customHeight="1" s="23">
      <c r="A54" s="10" t="inlineStr">
        <is>
          <t>BSE</t>
        </is>
      </c>
      <c r="B54" s="11" t="inlineStr">
        <is>
          <t>Capital Markets</t>
        </is>
      </c>
      <c r="C54" s="12">
        <f>IFERROR(__xludf.DUMMYFUNCTION("GOOGLEFINANCE(""NSE:""&amp;$A54,""price"")"),3375.4)</f>
        <v/>
      </c>
      <c r="D54" s="12">
        <f>IFERROR(__xludf.DUMMYFUNCTION("GOOGLEFINANCE(""NSE:""&amp;$A54,""priceopen"")"),3332.0)</f>
        <v/>
      </c>
      <c r="E54" s="12">
        <f>IFERROR(__xludf.DUMMYFUNCTION("GOOGLEFINANCE(""NSE:""&amp;$A54,""high"")"),3403.2)</f>
        <v/>
      </c>
      <c r="F54" s="12">
        <f>IFERROR(__xludf.DUMMYFUNCTION("GOOGLEFINANCE(""NSE:""&amp;$A54,""low"")"),3290.2)</f>
        <v/>
      </c>
      <c r="G54" s="12">
        <f>IFERROR(__xludf.DUMMYFUNCTION("IFERROR(INDEX(GOOGLEFINANCE(""NSE:""&amp;$A54,""close"",TODAY()),2,2),C54)"),3375.4)</f>
        <v/>
      </c>
      <c r="H54" s="12">
        <f>IFERROR(__xludf.DUMMYFUNCTION("GOOGLEFINANCE(""NSE:""&amp;$A54,""closeyest"")"),3330.2)</f>
        <v/>
      </c>
      <c r="I54" s="12">
        <f>IFERROR(C54-H54,"")</f>
        <v/>
      </c>
      <c r="J54" s="13">
        <f>IFERROR((C54-H54)/H54,"")</f>
        <v/>
      </c>
      <c r="K54" s="17">
        <f>IFERROR(__xludf.DUMMYFUNCTION("IFERROR(GOOGLEFINANCE(""NSE:""&amp;$A54,""marketcap""),"""")"),1.374796667284E12)</f>
        <v/>
      </c>
      <c r="L54" s="15">
        <f>IFERROR(K54/SUMIF($B$2:$B$214,B54,$K$2:$K$214),"")</f>
        <v/>
      </c>
      <c r="M54" s="16">
        <f>IFERROR(K54/SUM($K$2:$K$214),"")</f>
        <v/>
      </c>
      <c r="N54" t="n">
        <v>0</v>
      </c>
      <c r="O54" t="n">
        <v>2</v>
      </c>
      <c r="P54" s="19" t="n">
        <v>64.81</v>
      </c>
      <c r="R54" s="19" t="n">
        <v>35.09</v>
      </c>
      <c r="S54" t="inlineStr">
        <is>
          <t>NEUTRAL</t>
        </is>
      </c>
      <c r="T54" s="19" t="n">
        <v>53.54</v>
      </c>
      <c r="V54" t="n">
        <v>52.27</v>
      </c>
    </row>
    <row r="55" ht="15.75" customHeight="1" s="23">
      <c r="A55" s="10" t="inlineStr">
        <is>
          <t>CAMS</t>
        </is>
      </c>
      <c r="B55" s="11" t="inlineStr">
        <is>
          <t>Capital Markets</t>
        </is>
      </c>
      <c r="C55" s="12">
        <f>IFERROR(__xludf.DUMMYFUNCTION("GOOGLEFINANCE(""NSE:""&amp;$A55,""price"")"),701.0)</f>
        <v/>
      </c>
      <c r="D55" s="12">
        <f>IFERROR(__xludf.DUMMYFUNCTION("GOOGLEFINANCE(""NSE:""&amp;$A55,""priceopen"")"),681.55)</f>
        <v/>
      </c>
      <c r="E55" s="12">
        <f>IFERROR(__xludf.DUMMYFUNCTION("GOOGLEFINANCE(""NSE:""&amp;$A55,""high"")"),704.45)</f>
        <v/>
      </c>
      <c r="F55" s="12">
        <f>IFERROR(__xludf.DUMMYFUNCTION("GOOGLEFINANCE(""NSE:""&amp;$A55,""low"")"),681.0)</f>
        <v/>
      </c>
      <c r="G55" s="12">
        <f>IFERROR(__xludf.DUMMYFUNCTION("IFERROR(INDEX(GOOGLEFINANCE(""NSE:""&amp;$A55,""close"",TODAY()),2,2),C55)"),701.0)</f>
        <v/>
      </c>
      <c r="H55" s="12">
        <f>IFERROR(__xludf.DUMMYFUNCTION("GOOGLEFINANCE(""NSE:""&amp;$A55,""closeyest"")"),679.05)</f>
        <v/>
      </c>
      <c r="I55" s="12">
        <f>IFERROR(C55-H55,"")</f>
        <v/>
      </c>
      <c r="J55" s="13">
        <f>IFERROR((C55-H55)/H55,"")</f>
        <v/>
      </c>
      <c r="K55" s="17">
        <f>IFERROR(__xludf.DUMMYFUNCTION("IFERROR(GOOGLEFINANCE(""NSE:""&amp;$A55,""marketcap""),"""")"),1.7333309E11)</f>
        <v/>
      </c>
      <c r="L55" s="15">
        <f>IFERROR(K55/SUMIF($B$2:$B$214,B55,$K$2:$K$214),"")</f>
        <v/>
      </c>
      <c r="M55" s="16">
        <f>IFERROR(K55/SUM($K$2:$K$214),"")</f>
        <v/>
      </c>
      <c r="N55" t="n">
        <v>2</v>
      </c>
      <c r="O55" t="n">
        <v>2</v>
      </c>
      <c r="P55" s="19" t="n">
        <v>46.68</v>
      </c>
      <c r="R55" s="19" t="n">
        <v>30.8</v>
      </c>
      <c r="S55" t="inlineStr">
        <is>
          <t>NEUTRAL</t>
        </is>
      </c>
      <c r="T55" s="19" t="n">
        <v>40.89</v>
      </c>
      <c r="V55" t="n">
        <v>62.92</v>
      </c>
    </row>
    <row r="56" ht="15.75" customHeight="1" s="23">
      <c r="A56" s="10" t="inlineStr">
        <is>
          <t>CDSL</t>
        </is>
      </c>
      <c r="B56" s="11" t="inlineStr">
        <is>
          <t>Capital Markets</t>
        </is>
      </c>
      <c r="C56" s="12">
        <f>IFERROR(__xludf.DUMMYFUNCTION("GOOGLEFINANCE(""NSE:""&amp;$A56,""price"")"),1292.0)</f>
        <v/>
      </c>
      <c r="D56" s="12">
        <f>IFERROR(__xludf.DUMMYFUNCTION("GOOGLEFINANCE(""NSE:""&amp;$A56,""priceopen"")"),1266.0)</f>
        <v/>
      </c>
      <c r="E56" s="12">
        <f>IFERROR(__xludf.DUMMYFUNCTION("GOOGLEFINANCE(""NSE:""&amp;$A56,""high"")"),1294.0)</f>
        <v/>
      </c>
      <c r="F56" s="12">
        <f>IFERROR(__xludf.DUMMYFUNCTION("GOOGLEFINANCE(""NSE:""&amp;$A56,""low"")"),1256.6)</f>
        <v/>
      </c>
      <c r="G56" s="12">
        <f>IFERROR(__xludf.DUMMYFUNCTION("IFERROR(INDEX(GOOGLEFINANCE(""NSE:""&amp;$A56,""close"",TODAY()),2,2),C56)"),1292.0)</f>
        <v/>
      </c>
      <c r="H56" s="12">
        <f>IFERROR(__xludf.DUMMYFUNCTION("GOOGLEFINANCE(""NSE:""&amp;$A56,""closeyest"")"),1266.0)</f>
        <v/>
      </c>
      <c r="I56" s="12">
        <f>IFERROR(C56-H56,"")</f>
        <v/>
      </c>
      <c r="J56" s="13">
        <f>IFERROR((C56-H56)/H56,"")</f>
        <v/>
      </c>
      <c r="K56" s="17">
        <f>IFERROR(__xludf.DUMMYFUNCTION("IFERROR(GOOGLEFINANCE(""NSE:""&amp;$A56,""marketcap""),"""")"),2.70028E11)</f>
        <v/>
      </c>
      <c r="L56" s="15">
        <f>IFERROR(K56/SUMIF($B$2:$B$214,B56,$K$2:$K$214),"")</f>
        <v/>
      </c>
      <c r="M56" s="16">
        <f>IFERROR(K56/SUM($K$2:$K$214),"")</f>
        <v/>
      </c>
      <c r="N56" t="n">
        <v>0</v>
      </c>
      <c r="O56" t="n">
        <v>3</v>
      </c>
      <c r="P56" s="19" t="n">
        <v>44.64</v>
      </c>
      <c r="R56" s="19" t="n">
        <v>35.05</v>
      </c>
      <c r="S56" t="inlineStr">
        <is>
          <t>NEUTRAL</t>
        </is>
      </c>
      <c r="T56" s="19" t="n">
        <v>33.58</v>
      </c>
      <c r="V56" t="n">
        <v>65</v>
      </c>
    </row>
    <row r="57" ht="15.75" customHeight="1" s="23">
      <c r="A57" s="10" t="inlineStr">
        <is>
          <t>HDFCAMC</t>
        </is>
      </c>
      <c r="B57" s="11" t="inlineStr">
        <is>
          <t>Capital Markets</t>
        </is>
      </c>
      <c r="C57" s="12">
        <f>IFERROR(__xludf.DUMMYFUNCTION("GOOGLEFINANCE(""NSE:""&amp;$A57,""price"")"),2330.0)</f>
        <v/>
      </c>
      <c r="D57" s="12">
        <f>IFERROR(__xludf.DUMMYFUNCTION("GOOGLEFINANCE(""NSE:""&amp;$A57,""priceopen"")"),2285.0)</f>
        <v/>
      </c>
      <c r="E57" s="12">
        <f>IFERROR(__xludf.DUMMYFUNCTION("GOOGLEFINANCE(""NSE:""&amp;$A57,""high"")"),2334.7)</f>
        <v/>
      </c>
      <c r="F57" s="12">
        <f>IFERROR(__xludf.DUMMYFUNCTION("GOOGLEFINANCE(""NSE:""&amp;$A57,""low"")"),2266.5)</f>
        <v/>
      </c>
      <c r="G57" s="12">
        <f>IFERROR(__xludf.DUMMYFUNCTION("IFERROR(INDEX(GOOGLEFINANCE(""NSE:""&amp;$A57,""close"",TODAY()),2,2),C57)"),2330.0)</f>
        <v/>
      </c>
      <c r="H57" s="12">
        <f>IFERROR(__xludf.DUMMYFUNCTION("GOOGLEFINANCE(""NSE:""&amp;$A57,""closeyest"")"),2289.7)</f>
        <v/>
      </c>
      <c r="I57" s="12">
        <f>IFERROR(C57-H57,"")</f>
        <v/>
      </c>
      <c r="J57" s="13">
        <f>IFERROR((C57-H57)/H57,"")</f>
        <v/>
      </c>
      <c r="K57" s="17">
        <f>IFERROR(__xludf.DUMMYFUNCTION("IFERROR(GOOGLEFINANCE(""NSE:""&amp;$A57,""marketcap""),"""")"),9.99741022E11)</f>
        <v/>
      </c>
      <c r="L57" s="15">
        <f>IFERROR(K57/SUMIF($B$2:$B$214,B57,$K$2:$K$214),"")</f>
        <v/>
      </c>
      <c r="M57" s="16">
        <f>IFERROR(K57/SUM($K$2:$K$214),"")</f>
        <v/>
      </c>
      <c r="N57" t="n">
        <v>0</v>
      </c>
      <c r="O57" t="n">
        <v>2</v>
      </c>
      <c r="P57" s="19" t="n">
        <v>40.05</v>
      </c>
      <c r="R57" s="19" t="n">
        <v>27.8</v>
      </c>
      <c r="S57" t="inlineStr">
        <is>
          <t>NEUTRAL</t>
        </is>
      </c>
      <c r="T57" s="19" t="n">
        <v>36.94</v>
      </c>
      <c r="V57" t="n">
        <v>50.94</v>
      </c>
    </row>
    <row r="58" ht="15.75" customHeight="1" s="23">
      <c r="A58" s="10" t="inlineStr">
        <is>
          <t>IEX</t>
        </is>
      </c>
      <c r="B58" s="11" t="inlineStr">
        <is>
          <t>Capital Markets</t>
        </is>
      </c>
      <c r="C58" s="12">
        <f>IFERROR(__xludf.DUMMYFUNCTION("GOOGLEFINANCE(""NSE:""&amp;$A58,""price"")"),106.4)</f>
        <v/>
      </c>
      <c r="D58" s="12">
        <f>IFERROR(__xludf.DUMMYFUNCTION("GOOGLEFINANCE(""NSE:""&amp;$A58,""priceopen"")"),104.6)</f>
        <v/>
      </c>
      <c r="E58" s="12">
        <f>IFERROR(__xludf.DUMMYFUNCTION("GOOGLEFINANCE(""NSE:""&amp;$A58,""high"")"),106.5)</f>
        <v/>
      </c>
      <c r="F58" s="12">
        <f>IFERROR(__xludf.DUMMYFUNCTION("GOOGLEFINANCE(""NSE:""&amp;$A58,""low"")"),103.84)</f>
        <v/>
      </c>
      <c r="G58" s="12">
        <f>IFERROR(__xludf.DUMMYFUNCTION("IFERROR(INDEX(GOOGLEFINANCE(""NSE:""&amp;$A58,""close"",TODAY()),2,2),C58)"),106.4)</f>
        <v/>
      </c>
      <c r="H58" s="12">
        <f>IFERROR(__xludf.DUMMYFUNCTION("GOOGLEFINANCE(""NSE:""&amp;$A58,""closeyest"")"),104.37)</f>
        <v/>
      </c>
      <c r="I58" s="12">
        <f>IFERROR(C58-H58,"")</f>
        <v/>
      </c>
      <c r="J58" s="13">
        <f>IFERROR((C58-H58)/H58,"")</f>
        <v/>
      </c>
      <c r="K58" s="17">
        <f>IFERROR(__xludf.DUMMYFUNCTION("IFERROR(GOOGLEFINANCE(""NSE:""&amp;$A58,""marketcap""),"""")"),9.4592208517E10)</f>
        <v/>
      </c>
      <c r="L58" s="15">
        <f>IFERROR(K58/SUMIF($B$2:$B$214,B58,$K$2:$K$214),"")</f>
        <v/>
      </c>
      <c r="M58" s="16">
        <f>IFERROR(K58/SUM($K$2:$K$214),"")</f>
        <v/>
      </c>
      <c r="N58" t="n">
        <v>0</v>
      </c>
      <c r="O58" t="n">
        <v>2</v>
      </c>
      <c r="P58" s="19" t="n">
        <v>31.6</v>
      </c>
      <c r="R58" s="19" t="n">
        <v>37.47</v>
      </c>
      <c r="S58" t="inlineStr">
        <is>
          <t>NEUTRAL</t>
        </is>
      </c>
      <c r="T58" s="19" t="n">
        <v>38.17</v>
      </c>
      <c r="V58" t="n">
        <v>77.54000000000001</v>
      </c>
    </row>
    <row r="59" ht="15.75" customHeight="1" s="23">
      <c r="A59" s="10" t="inlineStr">
        <is>
          <t>KFINTECH</t>
        </is>
      </c>
      <c r="B59" s="11" t="inlineStr">
        <is>
          <t>Capital Markets</t>
        </is>
      </c>
      <c r="C59" s="12">
        <f>IFERROR(__xludf.DUMMYFUNCTION("GOOGLEFINANCE(""NSE:""&amp;$A59,""price"")"),889.9)</f>
        <v/>
      </c>
      <c r="D59" s="12">
        <f>IFERROR(__xludf.DUMMYFUNCTION("GOOGLEFINANCE(""NSE:""&amp;$A59,""priceopen"")"),867.2)</f>
        <v/>
      </c>
      <c r="E59" s="12">
        <f>IFERROR(__xludf.DUMMYFUNCTION("GOOGLEFINANCE(""NSE:""&amp;$A59,""high"")"),894.5)</f>
        <v/>
      </c>
      <c r="F59" s="12">
        <f>IFERROR(__xludf.DUMMYFUNCTION("GOOGLEFINANCE(""NSE:""&amp;$A59,""low"")"),866.4)</f>
        <v/>
      </c>
      <c r="G59" s="12">
        <f>IFERROR(__xludf.DUMMYFUNCTION("IFERROR(INDEX(GOOGLEFINANCE(""NSE:""&amp;$A59,""close"",TODAY()),2,2),C59)"),889.9)</f>
        <v/>
      </c>
      <c r="H59" s="12">
        <f>IFERROR(__xludf.DUMMYFUNCTION("GOOGLEFINANCE(""NSE:""&amp;$A59,""closeyest"")"),866.0)</f>
        <v/>
      </c>
      <c r="I59" s="12">
        <f>IFERROR(C59-H59,"")</f>
        <v/>
      </c>
      <c r="J59" s="13">
        <f>IFERROR((C59-H59)/H59,"")</f>
        <v/>
      </c>
      <c r="K59" s="17">
        <f>IFERROR(__xludf.DUMMYFUNCTION("IFERROR(GOOGLEFINANCE(""NSE:""&amp;$A59,""marketcap""),"""")"),1.52510004E11)</f>
        <v/>
      </c>
      <c r="L59" s="15">
        <f>IFERROR(K59/SUMIF($B$2:$B$214,B59,$K$2:$K$214),"")</f>
        <v/>
      </c>
      <c r="M59" s="16">
        <f>IFERROR(K59/SUM($K$2:$K$214),"")</f>
        <v/>
      </c>
      <c r="N59" t="n">
        <v>0</v>
      </c>
      <c r="O59" t="n">
        <v>1</v>
      </c>
      <c r="P59" s="19" t="n">
        <v>40.78</v>
      </c>
      <c r="R59" s="19" t="n">
        <v>48.84</v>
      </c>
      <c r="S59" t="inlineStr">
        <is>
          <t>NEUTRAL</t>
        </is>
      </c>
      <c r="T59" s="19" t="n">
        <v>42.29</v>
      </c>
      <c r="V59" t="n">
        <v>61.76</v>
      </c>
    </row>
    <row r="60" ht="15.75" customHeight="1" s="23">
      <c r="A60" s="10" t="inlineStr">
        <is>
          <t>MCX</t>
        </is>
      </c>
      <c r="B60" s="11" t="inlineStr">
        <is>
          <t>Capital Markets</t>
        </is>
      </c>
      <c r="C60" s="12">
        <f>IFERROR(__xludf.DUMMYFUNCTION("GOOGLEFINANCE(""NSE:""&amp;$A60,""price"")"),3308.0)</f>
        <v/>
      </c>
      <c r="D60" s="12">
        <f>IFERROR(__xludf.DUMMYFUNCTION("GOOGLEFINANCE(""NSE:""&amp;$A60,""priceopen"")"),3380.0)</f>
        <v/>
      </c>
      <c r="E60" s="12">
        <f>IFERROR(__xludf.DUMMYFUNCTION("GOOGLEFINANCE(""NSE:""&amp;$A60,""high"")"),3383.8)</f>
        <v/>
      </c>
      <c r="F60" s="12">
        <f>IFERROR(__xludf.DUMMYFUNCTION("GOOGLEFINANCE(""NSE:""&amp;$A60,""low"")"),3282.8)</f>
        <v/>
      </c>
      <c r="G60" s="12">
        <f>IFERROR(__xludf.DUMMYFUNCTION("IFERROR(INDEX(GOOGLEFINANCE(""NSE:""&amp;$A60,""close"",TODAY()),2,2),C60)"),3308.0)</f>
        <v/>
      </c>
      <c r="H60" s="12">
        <f>IFERROR(__xludf.DUMMYFUNCTION("GOOGLEFINANCE(""NSE:""&amp;$A60,""closeyest"")"),3390.0)</f>
        <v/>
      </c>
      <c r="I60" s="12">
        <f>IFERROR(C60-H60,"")</f>
        <v/>
      </c>
      <c r="J60" s="13">
        <f>IFERROR((C60-H60)/H60,"")</f>
        <v/>
      </c>
      <c r="K60" s="17">
        <f>IFERROR(__xludf.DUMMYFUNCTION("IFERROR(GOOGLEFINANCE(""NSE:""&amp;$A60,""marketcap""),"""")"),8.4317612E11)</f>
        <v/>
      </c>
      <c r="L60" s="15">
        <f>IFERROR(K60/SUMIF($B$2:$B$214,B60,$K$2:$K$214),"")</f>
        <v/>
      </c>
      <c r="M60" s="16">
        <f>IFERROR(K60/SUM($K$2:$K$214),"")</f>
        <v/>
      </c>
      <c r="N60" t="n">
        <v>2</v>
      </c>
      <c r="O60" t="n">
        <v>4</v>
      </c>
      <c r="P60" s="19" t="n">
        <v>80.53</v>
      </c>
      <c r="R60" s="19" t="n">
        <v>69.09999999999999</v>
      </c>
      <c r="S60" t="inlineStr">
        <is>
          <t>NEUTRAL</t>
        </is>
      </c>
      <c r="T60" s="19" t="n">
        <v>43.81</v>
      </c>
      <c r="V60" t="n">
        <v>21.14</v>
      </c>
    </row>
    <row r="61" ht="15.75" customHeight="1" s="23">
      <c r="A61" s="10" t="inlineStr">
        <is>
          <t>MOTILALOFS</t>
        </is>
      </c>
      <c r="B61" s="11" t="inlineStr">
        <is>
          <t>Capital Markets</t>
        </is>
      </c>
      <c r="C61" s="12">
        <f>IFERROR(__xludf.DUMMYFUNCTION("GOOGLEFINANCE(""NSE:""&amp;$A61,""price"")"),1068.9)</f>
        <v/>
      </c>
      <c r="D61" s="12">
        <f>IFERROR(__xludf.DUMMYFUNCTION("GOOGLEFINANCE(""NSE:""&amp;$A61,""priceopen"")"),1052.5)</f>
        <v/>
      </c>
      <c r="E61" s="12">
        <f>IFERROR(__xludf.DUMMYFUNCTION("GOOGLEFINANCE(""NSE:""&amp;$A61,""high"")"),1068.9)</f>
        <v/>
      </c>
      <c r="F61" s="12">
        <f>IFERROR(__xludf.DUMMYFUNCTION("GOOGLEFINANCE(""NSE:""&amp;$A61,""low"")"),1034.55)</f>
        <v/>
      </c>
      <c r="G61" s="12">
        <f>IFERROR(__xludf.DUMMYFUNCTION("IFERROR(INDEX(GOOGLEFINANCE(""NSE:""&amp;$A61,""close"",TODAY()),2,2),C61)"),1068.9)</f>
        <v/>
      </c>
      <c r="H61" s="12">
        <f>IFERROR(__xludf.DUMMYFUNCTION("GOOGLEFINANCE(""NSE:""&amp;$A61,""closeyest"")"),1051.0)</f>
        <v/>
      </c>
      <c r="I61" s="12">
        <f>IFERROR(C61-H61,"")</f>
        <v/>
      </c>
      <c r="J61" s="13">
        <f>IFERROR((C61-H61)/H61,"")</f>
        <v/>
      </c>
      <c r="K61" s="17">
        <f>IFERROR(__xludf.DUMMYFUNCTION("IFERROR(GOOGLEFINANCE(""NSE:""&amp;$A61,""marketcap""),"""")"),6.374488911E11)</f>
        <v/>
      </c>
      <c r="L61" s="15">
        <f>IFERROR(K61/SUMIF($B$2:$B$214,B61,$K$2:$K$214),"")</f>
        <v/>
      </c>
      <c r="M61" s="16">
        <f>IFERROR(K61/SUM($K$2:$K$214),"")</f>
        <v/>
      </c>
      <c r="N61" t="n">
        <v>1</v>
      </c>
      <c r="O61" t="n">
        <v>0</v>
      </c>
      <c r="P61" s="19" t="n">
        <v>58.15</v>
      </c>
      <c r="R61" s="19" t="n">
        <v>56.69</v>
      </c>
      <c r="S61" t="inlineStr">
        <is>
          <t>NEUTRAL</t>
        </is>
      </c>
      <c r="T61" s="19" t="n">
        <v>49.51</v>
      </c>
      <c r="V61" t="n">
        <v>43.56</v>
      </c>
    </row>
    <row r="62" ht="15.75" customHeight="1" s="23">
      <c r="A62" s="10" t="inlineStr">
        <is>
          <t>NAM-INDIA</t>
        </is>
      </c>
      <c r="B62" s="11" t="inlineStr">
        <is>
          <t>Capital Markets</t>
        </is>
      </c>
      <c r="C62" s="12">
        <f>IFERROR(__xludf.DUMMYFUNCTION("GOOGLEFINANCE(""NSE:""&amp;$A62,""price"")"),1065.7)</f>
        <v/>
      </c>
      <c r="D62" s="12">
        <f>IFERROR(__xludf.DUMMYFUNCTION("GOOGLEFINANCE(""NSE:""&amp;$A62,""priceopen"")"),1055.0)</f>
        <v/>
      </c>
      <c r="E62" s="12">
        <f>IFERROR(__xludf.DUMMYFUNCTION("GOOGLEFINANCE(""NSE:""&amp;$A62,""high"")"),1073.0)</f>
        <v/>
      </c>
      <c r="F62" s="12">
        <f>IFERROR(__xludf.DUMMYFUNCTION("GOOGLEFINANCE(""NSE:""&amp;$A62,""low"")"),1044.3)</f>
        <v/>
      </c>
      <c r="G62" s="12">
        <f>IFERROR(__xludf.DUMMYFUNCTION("IFERROR(INDEX(GOOGLEFINANCE(""NSE:""&amp;$A62,""close"",TODAY()),2,2),C62)"),1065.7)</f>
        <v/>
      </c>
      <c r="H62" s="12">
        <f>IFERROR(__xludf.DUMMYFUNCTION("GOOGLEFINANCE(""NSE:""&amp;$A62,""closeyest"")"),1057.0)</f>
        <v/>
      </c>
      <c r="I62" s="12">
        <f>IFERROR(C62-H62,"")</f>
        <v/>
      </c>
      <c r="J62" s="13">
        <f>IFERROR((C62-H62)/H62,"")</f>
        <v/>
      </c>
      <c r="K62" s="17">
        <f>IFERROR(__xludf.DUMMYFUNCTION("IFERROR(GOOGLEFINANCE(""NSE:""&amp;$A62,""marketcap""),"""")"),6.82092728147E11)</f>
        <v/>
      </c>
      <c r="L62" s="15">
        <f>IFERROR(K62/SUMIF($B$2:$B$214,B62,$K$2:$K$214),"")</f>
        <v/>
      </c>
      <c r="M62" s="16">
        <f>IFERROR(K62/SUM($K$2:$K$214),"")</f>
        <v/>
      </c>
      <c r="N62" t="n">
        <v>0</v>
      </c>
      <c r="O62" t="n">
        <v>3</v>
      </c>
      <c r="P62" s="19" t="n">
        <v>68.53</v>
      </c>
      <c r="R62" s="19" t="n">
        <v>35.52</v>
      </c>
      <c r="S62" t="inlineStr">
        <is>
          <t>NEUTRAL</t>
        </is>
      </c>
      <c r="T62" s="19" t="n">
        <v>27.88</v>
      </c>
      <c r="V62" t="n">
        <v>50.21</v>
      </c>
    </row>
    <row r="63" ht="15.75" customHeight="1" s="23">
      <c r="A63" s="10" t="inlineStr">
        <is>
          <t>AMBUJACEM</t>
        </is>
      </c>
      <c r="B63" s="11" t="inlineStr">
        <is>
          <t>Cement</t>
        </is>
      </c>
      <c r="C63" s="12">
        <f>IFERROR(__xludf.DUMMYFUNCTION("GOOGLEFINANCE(""NSE:""&amp;$A63,""price"")"),350.0)</f>
        <v/>
      </c>
      <c r="D63" s="12">
        <f>IFERROR(__xludf.DUMMYFUNCTION("GOOGLEFINANCE(""NSE:""&amp;$A63,""priceopen"")"),346.35)</f>
        <v/>
      </c>
      <c r="E63" s="12">
        <f>IFERROR(__xludf.DUMMYFUNCTION("GOOGLEFINANCE(""NSE:""&amp;$A63,""high"")"),351.15)</f>
        <v/>
      </c>
      <c r="F63" s="12">
        <f>IFERROR(__xludf.DUMMYFUNCTION("GOOGLEFINANCE(""NSE:""&amp;$A63,""low"")"),342.65)</f>
        <v/>
      </c>
      <c r="G63" s="12">
        <f>IFERROR(__xludf.DUMMYFUNCTION("IFERROR(INDEX(GOOGLEFINANCE(""NSE:""&amp;$A63,""close"",TODAY()),2,2),C63)"),350.0)</f>
        <v/>
      </c>
      <c r="H63" s="12">
        <f>IFERROR(__xludf.DUMMYFUNCTION("GOOGLEFINANCE(""NSE:""&amp;$A63,""closeyest"")"),348.0)</f>
        <v/>
      </c>
      <c r="I63" s="12">
        <f>IFERROR(C63-H63,"")</f>
        <v/>
      </c>
      <c r="J63" s="13">
        <f>IFERROR((C63-H63)/H63,"")</f>
        <v/>
      </c>
      <c r="K63" s="17">
        <f>IFERROR(__xludf.DUMMYFUNCTION("IFERROR(GOOGLEFINANCE(""NSE:""&amp;$A63,""marketcap""),"""")"),8.6968595E11)</f>
        <v/>
      </c>
      <c r="L63" s="15">
        <f>IFERROR(K63/SUMIF($B$2:$B$214,B63,$K$2:$K$214),"")</f>
        <v/>
      </c>
      <c r="M63" s="16">
        <f>IFERROR(K63/SUM($K$2:$K$214),"")</f>
        <v/>
      </c>
      <c r="N63" t="n">
        <v>0</v>
      </c>
      <c r="O63" t="n">
        <v>3</v>
      </c>
      <c r="P63" s="19" t="n">
        <v>19.84</v>
      </c>
      <c r="R63" s="19" t="n">
        <v>9.98</v>
      </c>
      <c r="S63" t="inlineStr">
        <is>
          <t>NEUTRAL</t>
        </is>
      </c>
      <c r="T63" s="19" t="n">
        <v>26.67</v>
      </c>
      <c r="V63" t="n">
        <v>52.15</v>
      </c>
    </row>
    <row r="64" ht="15.75" customHeight="1" s="23">
      <c r="A64" s="10" t="inlineStr">
        <is>
          <t>GRASIM</t>
        </is>
      </c>
      <c r="B64" s="11" t="inlineStr">
        <is>
          <t>Cement</t>
        </is>
      </c>
      <c r="C64" s="12">
        <f>IFERROR(__xludf.DUMMYFUNCTION("GOOGLEFINANCE(""NSE:""&amp;$A64,""price"")"),2912.0)</f>
        <v/>
      </c>
      <c r="D64" s="12">
        <f>IFERROR(__xludf.DUMMYFUNCTION("GOOGLEFINANCE(""NSE:""&amp;$A64,""priceopen"")"),2864.0)</f>
        <v/>
      </c>
      <c r="E64" s="12">
        <f>IFERROR(__xludf.DUMMYFUNCTION("GOOGLEFINANCE(""NSE:""&amp;$A64,""high"")"),2919.9)</f>
        <v/>
      </c>
      <c r="F64" s="12">
        <f>IFERROR(__xludf.DUMMYFUNCTION("GOOGLEFINANCE(""NSE:""&amp;$A64,""low"")"),2854.0)</f>
        <v/>
      </c>
      <c r="G64" s="12">
        <f>IFERROR(__xludf.DUMMYFUNCTION("IFERROR(INDEX(GOOGLEFINANCE(""NSE:""&amp;$A64,""close"",TODAY()),2,2),C64)"),2912.0)</f>
        <v/>
      </c>
      <c r="H64" s="12">
        <f>IFERROR(__xludf.DUMMYFUNCTION("GOOGLEFINANCE(""NSE:""&amp;$A64,""closeyest"")"),2858.0)</f>
        <v/>
      </c>
      <c r="I64" s="12">
        <f>IFERROR(C64-H64,"")</f>
        <v/>
      </c>
      <c r="J64" s="13">
        <f>IFERROR((C64-H64)/H64,"")</f>
        <v/>
      </c>
      <c r="K64" s="17">
        <f>IFERROR(__xludf.DUMMYFUNCTION("IFERROR(GOOGLEFINANCE(""NSE:""&amp;$A64,""marketcap""),"""")"),1.9806862824E12)</f>
        <v/>
      </c>
      <c r="L64" s="15">
        <f>IFERROR(K64/SUMIF($B$2:$B$214,B64,$K$2:$K$214),"")</f>
        <v/>
      </c>
      <c r="M64" s="16">
        <f>IFERROR(K64/SUM($K$2:$K$214),"")</f>
        <v/>
      </c>
      <c r="N64" t="n">
        <v>0</v>
      </c>
      <c r="O64" t="n">
        <v>3</v>
      </c>
      <c r="P64" s="19" t="n">
        <v>52.61</v>
      </c>
      <c r="R64" s="19" t="n">
        <v>33.46</v>
      </c>
      <c r="S64" t="inlineStr">
        <is>
          <t>NEUTRAL</t>
        </is>
      </c>
      <c r="T64" s="19" t="n">
        <v>21.77</v>
      </c>
      <c r="V64" t="n">
        <v>54.34</v>
      </c>
    </row>
    <row r="65" ht="15.75" customHeight="1" s="23">
      <c r="A65" s="10" t="inlineStr">
        <is>
          <t>SHREECEM</t>
        </is>
      </c>
      <c r="B65" s="11" t="inlineStr">
        <is>
          <t>Cement</t>
        </is>
      </c>
      <c r="C65" s="12">
        <f>IFERROR(__xludf.DUMMYFUNCTION("GOOGLEFINANCE(""NSE:""&amp;$A65,""price"")"),22225.0)</f>
        <v/>
      </c>
      <c r="D65" s="12">
        <f>IFERROR(__xludf.DUMMYFUNCTION("GOOGLEFINANCE(""NSE:""&amp;$A65,""priceopen"")"),21780.0)</f>
        <v/>
      </c>
      <c r="E65" s="12">
        <f>IFERROR(__xludf.DUMMYFUNCTION("GOOGLEFINANCE(""NSE:""&amp;$A65,""high"")"),22225.0)</f>
        <v/>
      </c>
      <c r="F65" s="12">
        <f>IFERROR(__xludf.DUMMYFUNCTION("GOOGLEFINANCE(""NSE:""&amp;$A65,""low"")"),21675.0)</f>
        <v/>
      </c>
      <c r="G65" s="12">
        <f>IFERROR(__xludf.DUMMYFUNCTION("IFERROR(INDEX(GOOGLEFINANCE(""NSE:""&amp;$A65,""close"",TODAY()),2,2),C65)"),22225.0)</f>
        <v/>
      </c>
      <c r="H65" s="12">
        <f>IFERROR(__xludf.DUMMYFUNCTION("GOOGLEFINANCE(""NSE:""&amp;$A65,""closeyest"")"),21860.0)</f>
        <v/>
      </c>
      <c r="I65" s="12">
        <f>IFERROR(C65-H65,"")</f>
        <v/>
      </c>
      <c r="J65" s="13">
        <f>IFERROR((C65-H65)/H65,"")</f>
        <v/>
      </c>
      <c r="K65" s="17">
        <f>IFERROR(__xludf.DUMMYFUNCTION("IFERROR(GOOGLEFINANCE(""NSE:""&amp;$A65,""marketcap""),"""")"),7.97397826937E11)</f>
        <v/>
      </c>
      <c r="L65" s="15">
        <f>IFERROR(K65/SUMIF($B$2:$B$214,B65,$K$2:$K$214),"")</f>
        <v/>
      </c>
      <c r="M65" s="16">
        <f>IFERROR(K65/SUM($K$2:$K$214),"")</f>
        <v/>
      </c>
      <c r="N65" t="n">
        <v>0</v>
      </c>
      <c r="O65" t="n">
        <v>2</v>
      </c>
      <c r="P65" s="19" t="n">
        <v>25.83</v>
      </c>
      <c r="R65" s="19" t="n">
        <v>9.92</v>
      </c>
      <c r="S65" t="inlineStr">
        <is>
          <t>NEUTRAL</t>
        </is>
      </c>
      <c r="T65" s="19" t="n">
        <v>45.91</v>
      </c>
      <c r="V65" t="n">
        <v>60.95</v>
      </c>
    </row>
    <row r="66" ht="15.75" customHeight="1" s="23">
      <c r="A66" s="10" t="inlineStr">
        <is>
          <t>ULTRACEMCO</t>
        </is>
      </c>
      <c r="B66" s="11" t="inlineStr">
        <is>
          <t>Cement</t>
        </is>
      </c>
      <c r="C66" s="12">
        <f>IFERROR(__xludf.DUMMYFUNCTION("GOOGLEFINANCE(""NSE:""&amp;$A66,""price"")"),10750.0)</f>
        <v/>
      </c>
      <c r="D66" s="12">
        <f>IFERROR(__xludf.DUMMYFUNCTION("GOOGLEFINANCE(""NSE:""&amp;$A66,""priceopen"")"),10575.0)</f>
        <v/>
      </c>
      <c r="E66" s="12">
        <f>IFERROR(__xludf.DUMMYFUNCTION("GOOGLEFINANCE(""NSE:""&amp;$A66,""high"")"),10750.0)</f>
        <v/>
      </c>
      <c r="F66" s="12">
        <f>IFERROR(__xludf.DUMMYFUNCTION("GOOGLEFINANCE(""NSE:""&amp;$A66,""low"")"),10466.0)</f>
        <v/>
      </c>
      <c r="G66" s="12">
        <f>IFERROR(__xludf.DUMMYFUNCTION("IFERROR(INDEX(GOOGLEFINANCE(""NSE:""&amp;$A66,""close"",TODAY()),2,2),C66)"),10750.0)</f>
        <v/>
      </c>
      <c r="H66" s="12">
        <f>IFERROR(__xludf.DUMMYFUNCTION("GOOGLEFINANCE(""NSE:""&amp;$A66,""closeyest"")"),10520.0)</f>
        <v/>
      </c>
      <c r="I66" s="12">
        <f>IFERROR(C66-H66,"")</f>
        <v/>
      </c>
      <c r="J66" s="13">
        <f>IFERROR((C66-H66)/H66,"")</f>
        <v/>
      </c>
      <c r="K66" s="17">
        <f>IFERROR(__xludf.DUMMYFUNCTION("IFERROR(GOOGLEFINANCE(""NSE:""&amp;$A66,""marketcap""),"""")"),3.1540553168E12)</f>
        <v/>
      </c>
      <c r="L66" s="15">
        <f>IFERROR(K66/SUMIF($B$2:$B$214,B66,$K$2:$K$214),"")</f>
        <v/>
      </c>
      <c r="M66" s="16">
        <f>IFERROR(K66/SUM($K$2:$K$214),"")</f>
        <v/>
      </c>
      <c r="N66" t="n">
        <v>0</v>
      </c>
      <c r="O66" t="n">
        <v>2</v>
      </c>
      <c r="P66" s="19" t="n">
        <v>38.84</v>
      </c>
      <c r="R66" s="19" t="n">
        <v>36.51</v>
      </c>
      <c r="S66" t="inlineStr">
        <is>
          <t>NEUTRAL</t>
        </is>
      </c>
      <c r="T66" s="19" t="n">
        <v>41.59</v>
      </c>
      <c r="V66" t="n">
        <v>70.93000000000001</v>
      </c>
    </row>
    <row r="67" ht="15.75" customHeight="1" s="23">
      <c r="A67" s="10" t="inlineStr">
        <is>
          <t>ASIANPAINT</t>
        </is>
      </c>
      <c r="B67" s="11" t="inlineStr">
        <is>
          <t>Chemicals &amp; Building Materials</t>
        </is>
      </c>
      <c r="C67" s="12">
        <f>IFERROR(__xludf.DUMMYFUNCTION("GOOGLEFINANCE(""NSE:""&amp;$A67,""price"")"),2376.0)</f>
        <v/>
      </c>
      <c r="D67" s="12">
        <f>IFERROR(__xludf.DUMMYFUNCTION("GOOGLEFINANCE(""NSE:""&amp;$A67,""priceopen"")"),2332.4)</f>
        <v/>
      </c>
      <c r="E67" s="12">
        <f>IFERROR(__xludf.DUMMYFUNCTION("GOOGLEFINANCE(""NSE:""&amp;$A67,""high"")"),2376.0)</f>
        <v/>
      </c>
      <c r="F67" s="12">
        <f>IFERROR(__xludf.DUMMYFUNCTION("GOOGLEFINANCE(""NSE:""&amp;$A67,""low"")"),2317.8)</f>
        <v/>
      </c>
      <c r="G67" s="12">
        <f>IFERROR(__xludf.DUMMYFUNCTION("IFERROR(INDEX(GOOGLEFINANCE(""NSE:""&amp;$A67,""close"",TODAY()),2,2),C67)"),2376.0)</f>
        <v/>
      </c>
      <c r="H67" s="12">
        <f>IFERROR(__xludf.DUMMYFUNCTION("GOOGLEFINANCE(""NSE:""&amp;$A67,""closeyest"")"),2331.0)</f>
        <v/>
      </c>
      <c r="I67" s="12">
        <f>IFERROR(C67-H67,"")</f>
        <v/>
      </c>
      <c r="J67" s="13">
        <f>IFERROR((C67-H67)/H67,"")</f>
        <v/>
      </c>
      <c r="K67" s="17">
        <f>IFERROR(__xludf.DUMMYFUNCTION("IFERROR(GOOGLEFINANCE(""NSE:""&amp;$A67,""marketcap""),"""")"),2.262545520682E12)</f>
        <v/>
      </c>
      <c r="L67" s="15">
        <f>IFERROR(K67/SUMIF($B$2:$B$214,B67,$K$2:$K$214),"")</f>
        <v/>
      </c>
      <c r="M67" s="16">
        <f>IFERROR(K67/SUM($K$2:$K$214),"")</f>
        <v/>
      </c>
      <c r="N67" t="n">
        <v>2</v>
      </c>
      <c r="O67" t="n">
        <v>2</v>
      </c>
      <c r="P67" s="19" t="n">
        <v>46.94</v>
      </c>
      <c r="R67" s="19" t="n">
        <v>21.55</v>
      </c>
      <c r="S67" t="inlineStr">
        <is>
          <t>NEUTRAL</t>
        </is>
      </c>
      <c r="T67" s="19" t="n">
        <v>38.58</v>
      </c>
      <c r="V67" t="n">
        <v>54.85</v>
      </c>
    </row>
    <row r="68" ht="15.75" customHeight="1" s="23">
      <c r="A68" s="10" t="inlineStr">
        <is>
          <t>ASTRAL</t>
        </is>
      </c>
      <c r="B68" s="11" t="inlineStr">
        <is>
          <t>Chemicals &amp; Building Materials</t>
        </is>
      </c>
      <c r="C68" s="12">
        <f>IFERROR(__xludf.DUMMYFUNCTION("GOOGLEFINANCE(""NSE:""&amp;$A68,""price"")"),1442.0)</f>
        <v/>
      </c>
      <c r="D68" s="12">
        <f>IFERROR(__xludf.DUMMYFUNCTION("GOOGLEFINANCE(""NSE:""&amp;$A68,""priceopen"")"),1430.9)</f>
        <v/>
      </c>
      <c r="E68" s="12">
        <f>IFERROR(__xludf.DUMMYFUNCTION("GOOGLEFINANCE(""NSE:""&amp;$A68,""high"")"),1442.0)</f>
        <v/>
      </c>
      <c r="F68" s="12">
        <f>IFERROR(__xludf.DUMMYFUNCTION("GOOGLEFINANCE(""NSE:""&amp;$A68,""low"")"),1418.3)</f>
        <v/>
      </c>
      <c r="G68" s="12">
        <f>IFERROR(__xludf.DUMMYFUNCTION("IFERROR(INDEX(GOOGLEFINANCE(""NSE:""&amp;$A68,""close"",TODAY()),2,2),C68)"),1442.0)</f>
        <v/>
      </c>
      <c r="H68" s="12">
        <f>IFERROR(__xludf.DUMMYFUNCTION("GOOGLEFINANCE(""NSE:""&amp;$A68,""closeyest"")"),1430.4)</f>
        <v/>
      </c>
      <c r="I68" s="12">
        <f>IFERROR(C68-H68,"")</f>
        <v/>
      </c>
      <c r="J68" s="13">
        <f>IFERROR((C68-H68)/H68,"")</f>
        <v/>
      </c>
      <c r="K68" s="17">
        <f>IFERROR(__xludf.DUMMYFUNCTION("IFERROR(GOOGLEFINANCE(""NSE:""&amp;$A68,""marketcap""),"""")"),3.873934442E11)</f>
        <v/>
      </c>
      <c r="L68" s="15">
        <f>IFERROR(K68/SUMIF($B$2:$B$214,B68,$K$2:$K$214),"")</f>
        <v/>
      </c>
      <c r="M68" s="16">
        <f>IFERROR(K68/SUM($K$2:$K$214),"")</f>
        <v/>
      </c>
      <c r="N68" t="n">
        <v>3</v>
      </c>
      <c r="O68" t="n">
        <v>0</v>
      </c>
      <c r="P68" s="19" t="n">
        <v>53.42</v>
      </c>
      <c r="R68" s="19" t="n">
        <v>58.93</v>
      </c>
      <c r="S68" t="inlineStr">
        <is>
          <t>NEUTRAL</t>
        </is>
      </c>
      <c r="T68" s="19" t="n">
        <v>61.45</v>
      </c>
      <c r="V68" t="n">
        <v>64.84999999999999</v>
      </c>
    </row>
    <row r="69" ht="15.75" customHeight="1" s="23">
      <c r="A69" s="10" t="inlineStr">
        <is>
          <t>PIDILITIND</t>
        </is>
      </c>
      <c r="B69" s="11" t="inlineStr">
        <is>
          <t>Chemicals &amp; Building Materials</t>
        </is>
      </c>
      <c r="C69" s="12">
        <f>IFERROR(__xludf.DUMMYFUNCTION("GOOGLEFINANCE(""NSE:""&amp;$A69,""price"")"),1497.6)</f>
        <v/>
      </c>
      <c r="D69" s="12">
        <f>IFERROR(__xludf.DUMMYFUNCTION("GOOGLEFINANCE(""NSE:""&amp;$A69,""priceopen"")"),1477.7)</f>
        <v/>
      </c>
      <c r="E69" s="12">
        <f>IFERROR(__xludf.DUMMYFUNCTION("GOOGLEFINANCE(""NSE:""&amp;$A69,""high"")"),1497.6)</f>
        <v/>
      </c>
      <c r="F69" s="12">
        <f>IFERROR(__xludf.DUMMYFUNCTION("GOOGLEFINANCE(""NSE:""&amp;$A69,""low"")"),1465.7)</f>
        <v/>
      </c>
      <c r="G69" s="12">
        <f>IFERROR(__xludf.DUMMYFUNCTION("IFERROR(INDEX(GOOGLEFINANCE(""NSE:""&amp;$A69,""close"",TODAY()),2,2),C69)"),1497.6)</f>
        <v/>
      </c>
      <c r="H69" s="12">
        <f>IFERROR(__xludf.DUMMYFUNCTION("GOOGLEFINANCE(""NSE:""&amp;$A69,""closeyest"")"),1477.7)</f>
        <v/>
      </c>
      <c r="I69" s="12">
        <f>IFERROR(C69-H69,"")</f>
        <v/>
      </c>
      <c r="J69" s="13">
        <f>IFERROR((C69-H69)/H69,"")</f>
        <v/>
      </c>
      <c r="K69" s="17">
        <f>IFERROR(__xludf.DUMMYFUNCTION("IFERROR(GOOGLEFINANCE(""NSE:""&amp;$A69,""marketcap""),"""")"),1.525365479133E12)</f>
        <v/>
      </c>
      <c r="L69" s="15">
        <f>IFERROR(K69/SUMIF($B$2:$B$214,B69,$K$2:$K$214),"")</f>
        <v/>
      </c>
      <c r="M69" s="16">
        <f>IFERROR(K69/SUM($K$2:$K$214),"")</f>
        <v/>
      </c>
      <c r="N69" t="n">
        <v>0</v>
      </c>
      <c r="O69" t="n">
        <v>1</v>
      </c>
      <c r="P69" s="19" t="n">
        <v>49.33</v>
      </c>
      <c r="R69" s="19" t="n">
        <v>40.16</v>
      </c>
      <c r="S69" t="inlineStr">
        <is>
          <t>NEUTRAL</t>
        </is>
      </c>
      <c r="T69" s="19" t="n">
        <v>35.09</v>
      </c>
      <c r="V69" t="n">
        <v>66.22</v>
      </c>
    </row>
    <row r="70" ht="15.75" customHeight="1" s="23">
      <c r="A70" s="10" t="inlineStr">
        <is>
          <t>PIIND</t>
        </is>
      </c>
      <c r="B70" s="11" t="inlineStr">
        <is>
          <t>Chemicals &amp; Building Materials</t>
        </is>
      </c>
      <c r="C70" s="12">
        <f>IFERROR(__xludf.DUMMYFUNCTION("GOOGLEFINANCE(""NSE:""&amp;$A70,""price"")"),2130.0)</f>
        <v/>
      </c>
      <c r="D70" s="12">
        <f>IFERROR(__xludf.DUMMYFUNCTION("GOOGLEFINANCE(""NSE:""&amp;$A70,""priceopen"")"),2131.5)</f>
        <v/>
      </c>
      <c r="E70" s="12">
        <f>IFERROR(__xludf.DUMMYFUNCTION("GOOGLEFINANCE(""NSE:""&amp;$A70,""high"")"),2143.2)</f>
        <v/>
      </c>
      <c r="F70" s="12">
        <f>IFERROR(__xludf.DUMMYFUNCTION("GOOGLEFINANCE(""NSE:""&amp;$A70,""low"")"),2112.6)</f>
        <v/>
      </c>
      <c r="G70" s="12">
        <f>IFERROR(__xludf.DUMMYFUNCTION("IFERROR(INDEX(GOOGLEFINANCE(""NSE:""&amp;$A70,""close"",TODAY()),2,2),C70)"),2130.0)</f>
        <v/>
      </c>
      <c r="H70" s="12">
        <f>IFERROR(__xludf.DUMMYFUNCTION("GOOGLEFINANCE(""NSE:""&amp;$A70,""closeyest"")"),2131.5)</f>
        <v/>
      </c>
      <c r="I70" s="12">
        <f>IFERROR(C70-H70,"")</f>
        <v/>
      </c>
      <c r="J70" s="13">
        <f>IFERROR((C70-H70)/H70,"")</f>
        <v/>
      </c>
      <c r="K70" s="17">
        <f>IFERROR(__xludf.DUMMYFUNCTION("IFERROR(GOOGLEFINANCE(""NSE:""&amp;$A70,""marketcap""),"""")"),3.23133993E11)</f>
        <v/>
      </c>
      <c r="L70" s="15">
        <f>IFERROR(K70/SUMIF($B$2:$B$214,B70,$K$2:$K$214),"")</f>
        <v/>
      </c>
      <c r="M70" s="16">
        <f>IFERROR(K70/SUM($K$2:$K$214),"")</f>
        <v/>
      </c>
      <c r="N70" t="n">
        <v>0</v>
      </c>
      <c r="O70" t="n">
        <v>3</v>
      </c>
      <c r="P70" s="19" t="n">
        <v>22.45</v>
      </c>
      <c r="R70" s="19" t="n">
        <v>35.62</v>
      </c>
      <c r="S70" t="inlineStr">
        <is>
          <t>NEUTRAL</t>
        </is>
      </c>
      <c r="T70" s="19" t="n">
        <v>34.47</v>
      </c>
      <c r="V70" t="n">
        <v>70.7</v>
      </c>
    </row>
    <row r="71" ht="15.75" customHeight="1" s="23">
      <c r="A71" s="10" t="inlineStr">
        <is>
          <t>SRF</t>
        </is>
      </c>
      <c r="B71" s="11" t="inlineStr">
        <is>
          <t>Chemicals &amp; Building Materials</t>
        </is>
      </c>
      <c r="C71" s="12">
        <f>IFERROR(__xludf.DUMMYFUNCTION("GOOGLEFINANCE(""NSE:""&amp;$A71,""price"")"),2492.0)</f>
        <v/>
      </c>
      <c r="D71" s="12">
        <f>IFERROR(__xludf.DUMMYFUNCTION("GOOGLEFINANCE(""NSE:""&amp;$A71,""priceopen"")"),2469.2)</f>
        <v/>
      </c>
      <c r="E71" s="12">
        <f>IFERROR(__xludf.DUMMYFUNCTION("GOOGLEFINANCE(""NSE:""&amp;$A71,""high"")"),2494.9)</f>
        <v/>
      </c>
      <c r="F71" s="12">
        <f>IFERROR(__xludf.DUMMYFUNCTION("GOOGLEFINANCE(""NSE:""&amp;$A71,""low"")"),2452.5)</f>
        <v/>
      </c>
      <c r="G71" s="12">
        <f>IFERROR(__xludf.DUMMYFUNCTION("IFERROR(INDEX(GOOGLEFINANCE(""NSE:""&amp;$A71,""close"",TODAY()),2,2),C71)"),2492.0)</f>
        <v/>
      </c>
      <c r="H71" s="12">
        <f>IFERROR(__xludf.DUMMYFUNCTION("GOOGLEFINANCE(""NSE:""&amp;$A71,""closeyest"")"),2488.4)</f>
        <v/>
      </c>
      <c r="I71" s="12">
        <f>IFERROR(C71-H71,"")</f>
        <v/>
      </c>
      <c r="J71" s="13">
        <f>IFERROR((C71-H71)/H71,"")</f>
        <v/>
      </c>
      <c r="K71" s="17">
        <f>IFERROR(__xludf.DUMMYFUNCTION("IFERROR(GOOGLEFINANCE(""NSE:""&amp;$A71,""marketcap""),"""")"),7.37951091E11)</f>
        <v/>
      </c>
      <c r="L71" s="15">
        <f>IFERROR(K71/SUMIF($B$2:$B$214,B71,$K$2:$K$214),"")</f>
        <v/>
      </c>
      <c r="M71" s="16">
        <f>IFERROR(K71/SUM($K$2:$K$214),"")</f>
        <v/>
      </c>
      <c r="N71" t="n">
        <v>2</v>
      </c>
      <c r="O71" t="n">
        <v>2</v>
      </c>
      <c r="P71" s="19" t="n">
        <v>39.05</v>
      </c>
      <c r="R71" s="19" t="n">
        <v>30.38</v>
      </c>
      <c r="S71" t="inlineStr">
        <is>
          <t>NEUTRAL</t>
        </is>
      </c>
      <c r="T71" s="19" t="n">
        <v>42.95</v>
      </c>
      <c r="V71" t="n">
        <v>54.25</v>
      </c>
    </row>
    <row r="72" ht="15.75" customHeight="1" s="23">
      <c r="A72" s="10" t="inlineStr">
        <is>
          <t>SUPREMEIND</t>
        </is>
      </c>
      <c r="B72" s="11" t="inlineStr">
        <is>
          <t>Chemicals &amp; Building Materials</t>
        </is>
      </c>
      <c r="C72" s="12">
        <f>IFERROR(__xludf.DUMMYFUNCTION("GOOGLEFINANCE(""NSE:""&amp;$A72,""price"")"),3506.9)</f>
        <v/>
      </c>
      <c r="D72" s="12">
        <f>IFERROR(__xludf.DUMMYFUNCTION("GOOGLEFINANCE(""NSE:""&amp;$A72,""priceopen"")"),3485.1)</f>
        <v/>
      </c>
      <c r="E72" s="12">
        <f>IFERROR(__xludf.DUMMYFUNCTION("GOOGLEFINANCE(""NSE:""&amp;$A72,""high"")"),3534.9)</f>
        <v/>
      </c>
      <c r="F72" s="12">
        <f>IFERROR(__xludf.DUMMYFUNCTION("GOOGLEFINANCE(""NSE:""&amp;$A72,""low"")"),3465.7)</f>
        <v/>
      </c>
      <c r="G72" s="12">
        <f>IFERROR(__xludf.DUMMYFUNCTION("IFERROR(INDEX(GOOGLEFINANCE(""NSE:""&amp;$A72,""close"",TODAY()),2,2),C72)"),3506.9)</f>
        <v/>
      </c>
      <c r="H72" s="12">
        <f>IFERROR(__xludf.DUMMYFUNCTION("GOOGLEFINANCE(""NSE:""&amp;$A72,""closeyest"")"),3493.8)</f>
        <v/>
      </c>
      <c r="I72" s="12">
        <f>IFERROR(C72-H72,"")</f>
        <v/>
      </c>
      <c r="J72" s="13">
        <f>IFERROR((C72-H72)/H72,"")</f>
        <v/>
      </c>
      <c r="K72" s="17">
        <f>IFERROR(__xludf.DUMMYFUNCTION("IFERROR(GOOGLEFINANCE(""NSE:""&amp;$A72,""marketcap""),"""")"),4.427500825E11)</f>
        <v/>
      </c>
      <c r="L72" s="15">
        <f>IFERROR(K72/SUMIF($B$2:$B$214,B72,$K$2:$K$214),"")</f>
        <v/>
      </c>
      <c r="M72" s="16">
        <f>IFERROR(K72/SUM($K$2:$K$214),"")</f>
        <v/>
      </c>
      <c r="N72" t="n">
        <v>2</v>
      </c>
      <c r="O72" t="n">
        <v>0</v>
      </c>
      <c r="P72" s="19" t="n">
        <v>37.06</v>
      </c>
      <c r="R72" s="19" t="n">
        <v>61.14</v>
      </c>
      <c r="S72" t="inlineStr">
        <is>
          <t>NEUTRAL</t>
        </is>
      </c>
      <c r="T72" s="19" t="n">
        <v>57.21</v>
      </c>
      <c r="V72" t="n">
        <v>78.94</v>
      </c>
    </row>
    <row r="73" ht="15.75" customHeight="1" s="23">
      <c r="A73" s="10" t="inlineStr">
        <is>
          <t>UPL</t>
        </is>
      </c>
      <c r="B73" s="11" t="inlineStr">
        <is>
          <t>Chemicals &amp; Building Materials</t>
        </is>
      </c>
      <c r="C73" s="12">
        <f>IFERROR(__xludf.DUMMYFUNCTION("GOOGLEFINANCE(""NSE:""&amp;$A73,""price"")"),524.7)</f>
        <v/>
      </c>
      <c r="D73" s="12">
        <f>IFERROR(__xludf.DUMMYFUNCTION("GOOGLEFINANCE(""NSE:""&amp;$A73,""priceopen"")"),514.85)</f>
        <v/>
      </c>
      <c r="E73" s="12">
        <f>IFERROR(__xludf.DUMMYFUNCTION("GOOGLEFINANCE(""NSE:""&amp;$A73,""high"")"),524.7)</f>
        <v/>
      </c>
      <c r="F73" s="12">
        <f>IFERROR(__xludf.DUMMYFUNCTION("GOOGLEFINANCE(""NSE:""&amp;$A73,""low"")"),512.0)</f>
        <v/>
      </c>
      <c r="G73" s="12">
        <f>IFERROR(__xludf.DUMMYFUNCTION("IFERROR(INDEX(GOOGLEFINANCE(""NSE:""&amp;$A73,""close"",TODAY()),2,2),C73)"),524.7)</f>
        <v/>
      </c>
      <c r="H73" s="12">
        <f>IFERROR(__xludf.DUMMYFUNCTION("GOOGLEFINANCE(""NSE:""&amp;$A73,""closeyest"")"),514.85)</f>
        <v/>
      </c>
      <c r="I73" s="12">
        <f>IFERROR(C73-H73,"")</f>
        <v/>
      </c>
      <c r="J73" s="13">
        <f>IFERROR((C73-H73)/H73,"")</f>
        <v/>
      </c>
      <c r="K73" s="17">
        <f>IFERROR(__xludf.DUMMYFUNCTION("IFERROR(GOOGLEFINANCE(""NSE:""&amp;$A73,""marketcap""),"""")"),4.752103076E11)</f>
        <v/>
      </c>
      <c r="L73" s="15">
        <f>IFERROR(K73/SUMIF($B$2:$B$214,B73,$K$2:$K$214),"")</f>
        <v/>
      </c>
      <c r="M73" s="16">
        <f>IFERROR(K73/SUM($K$2:$K$214),"")</f>
        <v/>
      </c>
      <c r="N73" t="n">
        <v>2</v>
      </c>
      <c r="O73" t="n">
        <v>1</v>
      </c>
      <c r="P73" s="19" t="n">
        <v>37.64</v>
      </c>
      <c r="R73" s="19" t="n">
        <v>41.06</v>
      </c>
      <c r="S73" t="inlineStr">
        <is>
          <t>NEUTRAL</t>
        </is>
      </c>
      <c r="T73" s="19" t="n">
        <v>46.2</v>
      </c>
      <c r="V73" t="n">
        <v>82.13</v>
      </c>
    </row>
    <row r="74" ht="15.75" customHeight="1" s="23">
      <c r="A74" s="10" t="inlineStr">
        <is>
          <t>AMBER</t>
        </is>
      </c>
      <c r="B74" s="11" t="inlineStr">
        <is>
          <t>Consumer Durables &amp; Electronics</t>
        </is>
      </c>
      <c r="C74" s="12">
        <f>IFERROR(__xludf.DUMMYFUNCTION("GOOGLEFINANCE(""NSE:""&amp;$A74,""price"")"),6640.0)</f>
        <v/>
      </c>
      <c r="D74" s="12">
        <f>IFERROR(__xludf.DUMMYFUNCTION("GOOGLEFINANCE(""NSE:""&amp;$A74,""priceopen"")"),6532.0)</f>
        <v/>
      </c>
      <c r="E74" s="12">
        <f>IFERROR(__xludf.DUMMYFUNCTION("GOOGLEFINANCE(""NSE:""&amp;$A74,""high"")"),6659.5)</f>
        <v/>
      </c>
      <c r="F74" s="12">
        <f>IFERROR(__xludf.DUMMYFUNCTION("GOOGLEFINANCE(""NSE:""&amp;$A74,""low"")"),6488.0)</f>
        <v/>
      </c>
      <c r="G74" s="12">
        <f>IFERROR(__xludf.DUMMYFUNCTION("IFERROR(INDEX(GOOGLEFINANCE(""NSE:""&amp;$A74,""close"",TODAY()),2,2),C74)"),6640.0)</f>
        <v/>
      </c>
      <c r="H74" s="12">
        <f>IFERROR(__xludf.DUMMYFUNCTION("GOOGLEFINANCE(""NSE:""&amp;$A74,""closeyest"")"),6528.0)</f>
        <v/>
      </c>
      <c r="I74" s="12">
        <f>IFERROR(C74-H74,"")</f>
        <v/>
      </c>
      <c r="J74" s="13">
        <f>IFERROR((C74-H74)/H74,"")</f>
        <v/>
      </c>
      <c r="K74" s="17">
        <f>IFERROR(__xludf.DUMMYFUNCTION("IFERROR(GOOGLEFINANCE(""NSE:""&amp;$A74,""marketcap""),"""")"),2.2503866433E11)</f>
        <v/>
      </c>
      <c r="L74" s="15">
        <f>IFERROR(K74/SUMIF($B$2:$B$214,B74,$K$2:$K$214),"")</f>
        <v/>
      </c>
      <c r="M74" s="16">
        <f>IFERROR(K74/SUM($K$2:$K$214),"")</f>
        <v/>
      </c>
      <c r="N74" t="n">
        <v>2</v>
      </c>
      <c r="O74" t="n">
        <v>2</v>
      </c>
      <c r="P74" s="19" t="n">
        <v>46.92</v>
      </c>
      <c r="R74" s="19" t="n">
        <v>30.1</v>
      </c>
      <c r="S74" t="inlineStr">
        <is>
          <t>NEUTRAL</t>
        </is>
      </c>
      <c r="T74" s="19" t="n">
        <v>39.3</v>
      </c>
      <c r="V74" t="n">
        <v>63.36</v>
      </c>
    </row>
    <row r="75" ht="15.75" customHeight="1" s="23">
      <c r="A75" s="10" t="inlineStr">
        <is>
          <t>BLUESTARCO</t>
        </is>
      </c>
      <c r="B75" s="11" t="inlineStr">
        <is>
          <t>Consumer Durables &amp; Electronics</t>
        </is>
      </c>
      <c r="C75" s="12">
        <f>IFERROR(__xludf.DUMMYFUNCTION("GOOGLEFINANCE(""NSE:""&amp;$A75,""price"")"),1594.0)</f>
        <v/>
      </c>
      <c r="D75" s="12">
        <f>IFERROR(__xludf.DUMMYFUNCTION("GOOGLEFINANCE(""NSE:""&amp;$A75,""priceopen"")"),1569.9)</f>
        <v/>
      </c>
      <c r="E75" s="12">
        <f>IFERROR(__xludf.DUMMYFUNCTION("GOOGLEFINANCE(""NSE:""&amp;$A75,""high"")"),1594.0)</f>
        <v/>
      </c>
      <c r="F75" s="12">
        <f>IFERROR(__xludf.DUMMYFUNCTION("GOOGLEFINANCE(""NSE:""&amp;$A75,""low"")"),1553.9)</f>
        <v/>
      </c>
      <c r="G75" s="12">
        <f>IFERROR(__xludf.DUMMYFUNCTION("IFERROR(INDEX(GOOGLEFINANCE(""NSE:""&amp;$A75,""close"",TODAY()),2,2),C75)"),1594.0)</f>
        <v/>
      </c>
      <c r="H75" s="12">
        <f>IFERROR(__xludf.DUMMYFUNCTION("GOOGLEFINANCE(""NSE:""&amp;$A75,""closeyest"")"),1570.0)</f>
        <v/>
      </c>
      <c r="I75" s="12">
        <f>IFERROR(C75-H75,"")</f>
        <v/>
      </c>
      <c r="J75" s="13">
        <f>IFERROR((C75-H75)/H75,"")</f>
        <v/>
      </c>
      <c r="K75" s="17">
        <f>IFERROR(__xludf.DUMMYFUNCTION("IFERROR(GOOGLEFINANCE(""NSE:""&amp;$A75,""marketcap""),"""")"),3.273198168E11)</f>
        <v/>
      </c>
      <c r="L75" s="15">
        <f>IFERROR(K75/SUMIF($B$2:$B$214,B75,$K$2:$K$214),"")</f>
        <v/>
      </c>
      <c r="M75" s="16">
        <f>IFERROR(K75/SUM($K$2:$K$214),"")</f>
        <v/>
      </c>
      <c r="N75" t="n">
        <v>0</v>
      </c>
      <c r="O75" t="n">
        <v>1</v>
      </c>
      <c r="P75" s="19" t="n">
        <v>42.06</v>
      </c>
      <c r="R75" s="19" t="n">
        <v>47.28</v>
      </c>
      <c r="S75" t="inlineStr">
        <is>
          <t>NEUTRAL</t>
        </is>
      </c>
      <c r="T75" s="19" t="n">
        <v>59.22</v>
      </c>
      <c r="V75" t="n">
        <v>67.92</v>
      </c>
    </row>
    <row r="76" ht="15.75" customHeight="1" s="23">
      <c r="A76" s="10" t="inlineStr">
        <is>
          <t>CROMPTON</t>
        </is>
      </c>
      <c r="B76" s="11" t="inlineStr">
        <is>
          <t>Consumer Durables &amp; Electronics</t>
        </is>
      </c>
      <c r="C76" s="12">
        <f>IFERROR(__xludf.DUMMYFUNCTION("GOOGLEFINANCE(""NSE:""&amp;$A76,""price"")"),211.5)</f>
        <v/>
      </c>
      <c r="D76" s="12">
        <f>IFERROR(__xludf.DUMMYFUNCTION("GOOGLEFINANCE(""NSE:""&amp;$A76,""priceopen"")"),203.9)</f>
        <v/>
      </c>
      <c r="E76" s="12">
        <f>IFERROR(__xludf.DUMMYFUNCTION("GOOGLEFINANCE(""NSE:""&amp;$A76,""high"")"),212.48)</f>
        <v/>
      </c>
      <c r="F76" s="12">
        <f>IFERROR(__xludf.DUMMYFUNCTION("GOOGLEFINANCE(""NSE:""&amp;$A76,""low"")"),201.31)</f>
        <v/>
      </c>
      <c r="G76" s="12">
        <f>IFERROR(__xludf.DUMMYFUNCTION("IFERROR(INDEX(GOOGLEFINANCE(""NSE:""&amp;$A76,""close"",TODAY()),2,2),C76)"),211.5)</f>
        <v/>
      </c>
      <c r="H76" s="12">
        <f>IFERROR(__xludf.DUMMYFUNCTION("GOOGLEFINANCE(""NSE:""&amp;$A76,""closeyest"")"),202.5)</f>
        <v/>
      </c>
      <c r="I76" s="12">
        <f>IFERROR(C76-H76,"")</f>
        <v/>
      </c>
      <c r="J76" s="13">
        <f>IFERROR((C76-H76)/H76,"")</f>
        <v/>
      </c>
      <c r="K76" s="17">
        <f>IFERROR(__xludf.DUMMYFUNCTION("IFERROR(GOOGLEFINANCE(""NSE:""&amp;$A76,""marketcap""),"""")"),1.3602730365E11)</f>
        <v/>
      </c>
      <c r="L76" s="15">
        <f>IFERROR(K76/SUMIF($B$2:$B$214,B76,$K$2:$K$214),"")</f>
        <v/>
      </c>
      <c r="M76" s="16">
        <f>IFERROR(K76/SUM($K$2:$K$214),"")</f>
        <v/>
      </c>
      <c r="N76" t="n">
        <v>2</v>
      </c>
      <c r="O76" t="n">
        <v>2</v>
      </c>
      <c r="P76" s="19" t="n">
        <v>32.27</v>
      </c>
      <c r="R76" s="19" t="n">
        <v>27.98</v>
      </c>
      <c r="S76" t="inlineStr">
        <is>
          <t>NEUTRAL</t>
        </is>
      </c>
      <c r="T76" s="19" t="n">
        <v>43.24</v>
      </c>
      <c r="V76" t="n">
        <v>87.75</v>
      </c>
    </row>
    <row r="77" ht="15.75" customHeight="1" s="23">
      <c r="A77" s="10" t="inlineStr">
        <is>
          <t>DIXON</t>
        </is>
      </c>
      <c r="B77" s="11" t="inlineStr">
        <is>
          <t>Consumer Durables &amp; Electronics</t>
        </is>
      </c>
      <c r="C77" s="12">
        <f>IFERROR(__xludf.DUMMYFUNCTION("GOOGLEFINANCE(""NSE:""&amp;$A77,""price"")"),12740.0)</f>
        <v/>
      </c>
      <c r="D77" s="12">
        <f>IFERROR(__xludf.DUMMYFUNCTION("GOOGLEFINANCE(""NSE:""&amp;$A77,""priceopen"")"),12708.0)</f>
        <v/>
      </c>
      <c r="E77" s="12">
        <f>IFERROR(__xludf.DUMMYFUNCTION("GOOGLEFINANCE(""NSE:""&amp;$A77,""high"")"),12805.0)</f>
        <v/>
      </c>
      <c r="F77" s="12">
        <f>IFERROR(__xludf.DUMMYFUNCTION("GOOGLEFINANCE(""NSE:""&amp;$A77,""low"")"),12581.0)</f>
        <v/>
      </c>
      <c r="G77" s="12">
        <f>IFERROR(__xludf.DUMMYFUNCTION("IFERROR(INDEX(GOOGLEFINANCE(""NSE:""&amp;$A77,""close"",TODAY()),2,2),C77)"),12740.0)</f>
        <v/>
      </c>
      <c r="H77" s="12">
        <f>IFERROR(__xludf.DUMMYFUNCTION("GOOGLEFINANCE(""NSE:""&amp;$A77,""closeyest"")"),12660.0)</f>
        <v/>
      </c>
      <c r="I77" s="12">
        <f>IFERROR(C77-H77,"")</f>
        <v/>
      </c>
      <c r="J77" s="13">
        <f>IFERROR((C77-H77)/H77,"")</f>
        <v/>
      </c>
      <c r="K77" s="17">
        <f>IFERROR(__xludf.DUMMYFUNCTION("IFERROR(GOOGLEFINANCE(""NSE:""&amp;$A77,""marketcap""),"""")"),7.69978979E11)</f>
        <v/>
      </c>
      <c r="L77" s="15">
        <f>IFERROR(K77/SUMIF($B$2:$B$214,B77,$K$2:$K$214),"")</f>
        <v/>
      </c>
      <c r="M77" s="16">
        <f>IFERROR(K77/SUM($K$2:$K$214),"")</f>
        <v/>
      </c>
      <c r="N77" t="n">
        <v>0</v>
      </c>
      <c r="O77" t="n">
        <v>1</v>
      </c>
      <c r="P77" s="19" t="n">
        <v>36.6</v>
      </c>
      <c r="R77" s="19" t="n">
        <v>44.71</v>
      </c>
      <c r="S77" t="inlineStr">
        <is>
          <t>NEUTRAL</t>
        </is>
      </c>
      <c r="T77" s="19" t="n">
        <v>42.33</v>
      </c>
      <c r="V77" t="n">
        <v>63.11</v>
      </c>
    </row>
    <row r="78" ht="15.75" customHeight="1" s="23">
      <c r="A78" s="10" t="inlineStr">
        <is>
          <t>HAVELLS</t>
        </is>
      </c>
      <c r="B78" s="11" t="inlineStr">
        <is>
          <t>Consumer Durables &amp; Electronics</t>
        </is>
      </c>
      <c r="C78" s="12">
        <f>IFERROR(__xludf.DUMMYFUNCTION("GOOGLEFINANCE(""NSE:""&amp;$A78,""price"")"),1082.0)</f>
        <v/>
      </c>
      <c r="D78" s="12">
        <f>IFERROR(__xludf.DUMMYFUNCTION("GOOGLEFINANCE(""NSE:""&amp;$A78,""priceopen"")"),1052.0)</f>
        <v/>
      </c>
      <c r="E78" s="12">
        <f>IFERROR(__xludf.DUMMYFUNCTION("GOOGLEFINANCE(""NSE:""&amp;$A78,""high"")"),1082.0)</f>
        <v/>
      </c>
      <c r="F78" s="12">
        <f>IFERROR(__xludf.DUMMYFUNCTION("GOOGLEFINANCE(""NSE:""&amp;$A78,""low"")"),1047.0)</f>
        <v/>
      </c>
      <c r="G78" s="12">
        <f>IFERROR(__xludf.DUMMYFUNCTION("IFERROR(INDEX(GOOGLEFINANCE(""NSE:""&amp;$A78,""close"",TODAY()),2,2),C78)"),1082.0)</f>
        <v/>
      </c>
      <c r="H78" s="12">
        <f>IFERROR(__xludf.DUMMYFUNCTION("GOOGLEFINANCE(""NSE:""&amp;$A78,""closeyest"")"),1052.0)</f>
        <v/>
      </c>
      <c r="I78" s="12">
        <f>IFERROR(C78-H78,"")</f>
        <v/>
      </c>
      <c r="J78" s="13">
        <f>IFERROR((C78-H78)/H78,"")</f>
        <v/>
      </c>
      <c r="K78" s="17">
        <f>IFERROR(__xludf.DUMMYFUNCTION("IFERROR(GOOGLEFINANCE(""NSE:""&amp;$A78,""marketcap""),"""")"),6.790216512E11)</f>
        <v/>
      </c>
      <c r="L78" s="15">
        <f>IFERROR(K78/SUMIF($B$2:$B$214,B78,$K$2:$K$214),"")</f>
        <v/>
      </c>
      <c r="M78" s="16">
        <f>IFERROR(K78/SUM($K$2:$K$214),"")</f>
        <v/>
      </c>
      <c r="N78" t="n">
        <v>2</v>
      </c>
      <c r="O78" t="n">
        <v>1</v>
      </c>
      <c r="P78" s="19" t="n">
        <v>32.54</v>
      </c>
      <c r="R78" s="19" t="n">
        <v>43.05</v>
      </c>
      <c r="S78" t="inlineStr">
        <is>
          <t>NEUTRAL</t>
        </is>
      </c>
      <c r="T78" s="19" t="n">
        <v>54.32</v>
      </c>
      <c r="V78" t="n">
        <v>85.48</v>
      </c>
    </row>
    <row r="79" ht="15.75" customHeight="1" s="23">
      <c r="A79" s="10" t="inlineStr">
        <is>
          <t>KALYANKJIL</t>
        </is>
      </c>
      <c r="B79" s="11" t="inlineStr">
        <is>
          <t>Consumer Durables &amp; Electronics</t>
        </is>
      </c>
      <c r="C79" s="12">
        <f>IFERROR(__xludf.DUMMYFUNCTION("GOOGLEFINANCE(""NSE:""&amp;$A79,""price"")"),571.0)</f>
        <v/>
      </c>
      <c r="D79" s="12">
        <f>IFERROR(__xludf.DUMMYFUNCTION("GOOGLEFINANCE(""NSE:""&amp;$A79,""priceopen"")"),564.05)</f>
        <v/>
      </c>
      <c r="E79" s="12">
        <f>IFERROR(__xludf.DUMMYFUNCTION("GOOGLEFINANCE(""NSE:""&amp;$A79,""high"")"),572.0)</f>
        <v/>
      </c>
      <c r="F79" s="12">
        <f>IFERROR(__xludf.DUMMYFUNCTION("GOOGLEFINANCE(""NSE:""&amp;$A79,""low"")"),558.35)</f>
        <v/>
      </c>
      <c r="G79" s="12">
        <f>IFERROR(__xludf.DUMMYFUNCTION("IFERROR(INDEX(GOOGLEFINANCE(""NSE:""&amp;$A79,""close"",TODAY()),2,2),C79)"),571.0)</f>
        <v/>
      </c>
      <c r="H79" s="12">
        <f>IFERROR(__xludf.DUMMYFUNCTION("GOOGLEFINANCE(""NSE:""&amp;$A79,""closeyest"")"),567.15)</f>
        <v/>
      </c>
      <c r="I79" s="12">
        <f>IFERROR(C79-H79,"")</f>
        <v/>
      </c>
      <c r="J79" s="13">
        <f>IFERROR((C79-H79)/H79,"")</f>
        <v/>
      </c>
      <c r="K79" s="17">
        <f>IFERROR(__xludf.DUMMYFUNCTION("IFERROR(GOOGLEFINANCE(""NSE:""&amp;$A79,""marketcap""),"""")"),5.8803138E11)</f>
        <v/>
      </c>
      <c r="L79" s="15">
        <f>IFERROR(K79/SUMIF($B$2:$B$214,B79,$K$2:$K$214),"")</f>
        <v/>
      </c>
      <c r="M79" s="16">
        <f>IFERROR(K79/SUM($K$2:$K$214),"")</f>
        <v/>
      </c>
      <c r="N79" t="n">
        <v>2</v>
      </c>
      <c r="O79" t="n">
        <v>0</v>
      </c>
      <c r="P79" s="19" t="n">
        <v>54.22</v>
      </c>
      <c r="R79" s="19" t="n">
        <v>65.34999999999999</v>
      </c>
      <c r="S79" t="inlineStr">
        <is>
          <t>NEUTRAL</t>
        </is>
      </c>
      <c r="T79" s="19" t="n">
        <v>43.8</v>
      </c>
      <c r="V79" t="n">
        <v>44.67</v>
      </c>
    </row>
    <row r="80" ht="15.75" customHeight="1" s="23">
      <c r="A80" s="10" t="inlineStr">
        <is>
          <t>KAYNES</t>
        </is>
      </c>
      <c r="B80" s="11" t="inlineStr">
        <is>
          <t>Consumer Durables &amp; Electronics</t>
        </is>
      </c>
      <c r="C80" s="12">
        <f>IFERROR(__xludf.DUMMYFUNCTION("GOOGLEFINANCE(""NSE:""&amp;$A80,""price"")"),3290.0)</f>
        <v/>
      </c>
      <c r="D80" s="12">
        <f>IFERROR(__xludf.DUMMYFUNCTION("GOOGLEFINANCE(""NSE:""&amp;$A80,""priceopen"")"),3240.1)</f>
        <v/>
      </c>
      <c r="E80" s="12">
        <f>IFERROR(__xludf.DUMMYFUNCTION("GOOGLEFINANCE(""NSE:""&amp;$A80,""high"")"),3312.9)</f>
        <v/>
      </c>
      <c r="F80" s="12">
        <f>IFERROR(__xludf.DUMMYFUNCTION("GOOGLEFINANCE(""NSE:""&amp;$A80,""low"")"),3200.9)</f>
        <v/>
      </c>
      <c r="G80" s="12">
        <f>IFERROR(__xludf.DUMMYFUNCTION("IFERROR(INDEX(GOOGLEFINANCE(""NSE:""&amp;$A80,""close"",TODAY()),2,2),C80)"),3290.0)</f>
        <v/>
      </c>
      <c r="H80" s="12">
        <f>IFERROR(__xludf.DUMMYFUNCTION("GOOGLEFINANCE(""NSE:""&amp;$A80,""closeyest"")"),3222.1)</f>
        <v/>
      </c>
      <c r="I80" s="12">
        <f>IFERROR(C80-H80,"")</f>
        <v/>
      </c>
      <c r="J80" s="13">
        <f>IFERROR((C80-H80)/H80,"")</f>
        <v/>
      </c>
      <c r="K80" s="17">
        <f>IFERROR(__xludf.DUMMYFUNCTION("IFERROR(GOOGLEFINANCE(""NSE:""&amp;$A80,""marketcap""),"""")"),2.109604469E11)</f>
        <v/>
      </c>
      <c r="L80" s="15">
        <f>IFERROR(K80/SUMIF($B$2:$B$214,B80,$K$2:$K$214),"")</f>
        <v/>
      </c>
      <c r="M80" s="16">
        <f>IFERROR(K80/SUM($K$2:$K$214),"")</f>
        <v/>
      </c>
      <c r="N80" t="n">
        <v>0</v>
      </c>
      <c r="O80" t="n">
        <v>1</v>
      </c>
      <c r="P80" s="19" t="n">
        <v>32.34</v>
      </c>
      <c r="R80" s="19" t="n">
        <v>48.73</v>
      </c>
      <c r="S80" t="inlineStr">
        <is>
          <t>NEUTRAL</t>
        </is>
      </c>
      <c r="T80" s="19" t="n">
        <v>38.58</v>
      </c>
      <c r="V80" t="n">
        <v>62.17</v>
      </c>
    </row>
    <row r="81" ht="15.75" customHeight="1" s="23">
      <c r="A81" s="10" t="inlineStr">
        <is>
          <t>PGEL</t>
        </is>
      </c>
      <c r="B81" s="11" t="inlineStr">
        <is>
          <t>Consumer Durables &amp; Electronics</t>
        </is>
      </c>
      <c r="C81" s="12">
        <f>IFERROR(__xludf.DUMMYFUNCTION("GOOGLEFINANCE(""NSE:""&amp;$A81,""price"")"),524.05)</f>
        <v/>
      </c>
      <c r="D81" s="12">
        <f>IFERROR(__xludf.DUMMYFUNCTION("GOOGLEFINANCE(""NSE:""&amp;$A81,""priceopen"")"),525.05)</f>
        <v/>
      </c>
      <c r="E81" s="12">
        <f>IFERROR(__xludf.DUMMYFUNCTION("GOOGLEFINANCE(""NSE:""&amp;$A81,""high"")"),526.55)</f>
        <v/>
      </c>
      <c r="F81" s="12">
        <f>IFERROR(__xludf.DUMMYFUNCTION("GOOGLEFINANCE(""NSE:""&amp;$A81,""low"")"),514.75)</f>
        <v/>
      </c>
      <c r="G81" s="12">
        <f>IFERROR(__xludf.DUMMYFUNCTION("IFERROR(INDEX(GOOGLEFINANCE(""NSE:""&amp;$A81,""close"",TODAY()),2,2),C81)"),524.05)</f>
        <v/>
      </c>
      <c r="H81" s="12">
        <f>IFERROR(__xludf.DUMMYFUNCTION("GOOGLEFINANCE(""NSE:""&amp;$A81,""closeyest"")"),525.0)</f>
        <v/>
      </c>
      <c r="I81" s="12">
        <f>IFERROR(C81-H81,"")</f>
        <v/>
      </c>
      <c r="J81" s="13">
        <f>IFERROR((C81-H81)/H81,"")</f>
        <v/>
      </c>
      <c r="K81" s="17">
        <f>IFERROR(__xludf.DUMMYFUNCTION("IFERROR(GOOGLEFINANCE(""NSE:""&amp;$A81,""marketcap""),"""")"),1.50146976937E11)</f>
        <v/>
      </c>
      <c r="L81" s="15">
        <f>IFERROR(K81/SUMIF($B$2:$B$214,B81,$K$2:$K$214),"")</f>
        <v/>
      </c>
      <c r="M81" s="16">
        <f>IFERROR(K81/SUM($K$2:$K$214),"")</f>
        <v/>
      </c>
      <c r="N81" t="n">
        <v>0</v>
      </c>
      <c r="O81" t="n">
        <v>1</v>
      </c>
      <c r="P81" s="19" t="n">
        <v>49.4</v>
      </c>
      <c r="R81" s="19" t="n">
        <v>40.9</v>
      </c>
      <c r="S81" t="inlineStr">
        <is>
          <t>NEUTRAL</t>
        </is>
      </c>
      <c r="T81" s="19" t="n">
        <v>50.72</v>
      </c>
      <c r="V81" t="n">
        <v>45.73</v>
      </c>
    </row>
    <row r="82" ht="15.75" customHeight="1" s="23">
      <c r="A82" s="10" t="inlineStr">
        <is>
          <t>TITAN</t>
        </is>
      </c>
      <c r="B82" s="11" t="inlineStr">
        <is>
          <t>Consumer Durables &amp; Electronics</t>
        </is>
      </c>
      <c r="C82" s="12">
        <f>IFERROR(__xludf.DUMMYFUNCTION("GOOGLEFINANCE(""NSE:""&amp;$A82,""price"")"),4487.0)</f>
        <v/>
      </c>
      <c r="D82" s="12">
        <f>IFERROR(__xludf.DUMMYFUNCTION("GOOGLEFINANCE(""NSE:""&amp;$A82,""priceopen"")"),4385.2)</f>
        <v/>
      </c>
      <c r="E82" s="12">
        <f>IFERROR(__xludf.DUMMYFUNCTION("GOOGLEFINANCE(""NSE:""&amp;$A82,""high"")"),4487.0)</f>
        <v/>
      </c>
      <c r="F82" s="12">
        <f>IFERROR(__xludf.DUMMYFUNCTION("GOOGLEFINANCE(""NSE:""&amp;$A82,""low"")"),4367.8)</f>
        <v/>
      </c>
      <c r="G82" s="12">
        <f>IFERROR(__xludf.DUMMYFUNCTION("IFERROR(INDEX(GOOGLEFINANCE(""NSE:""&amp;$A82,""close"",TODAY()),2,2),C82)"),4487.0)</f>
        <v/>
      </c>
      <c r="H82" s="12">
        <f>IFERROR(__xludf.DUMMYFUNCTION("GOOGLEFINANCE(""NSE:""&amp;$A82,""closeyest"")"),4400.0)</f>
        <v/>
      </c>
      <c r="I82" s="12">
        <f>IFERROR(C82-H82,"")</f>
        <v/>
      </c>
      <c r="J82" s="13">
        <f>IFERROR((C82-H82)/H82,"")</f>
        <v/>
      </c>
      <c r="K82" s="17">
        <f>IFERROR(__xludf.DUMMYFUNCTION("IFERROR(GOOGLEFINANCE(""NSE:""&amp;$A82,""marketcap""),"""")"),3.9792933765E12)</f>
        <v/>
      </c>
      <c r="L82" s="15">
        <f>IFERROR(K82/SUMIF($B$2:$B$214,B82,$K$2:$K$214),"")</f>
        <v/>
      </c>
      <c r="M82" s="16">
        <f>IFERROR(K82/SUM($K$2:$K$214),"")</f>
        <v/>
      </c>
      <c r="N82" t="n">
        <v>2</v>
      </c>
      <c r="O82" t="n">
        <v>2</v>
      </c>
      <c r="P82" s="19" t="n">
        <v>59.89</v>
      </c>
      <c r="R82" s="19" t="n">
        <v>45.47</v>
      </c>
      <c r="S82" t="inlineStr">
        <is>
          <t>NEUTRAL</t>
        </is>
      </c>
      <c r="T82" s="19" t="n">
        <v>26.87</v>
      </c>
      <c r="V82" t="n">
        <v>59.71</v>
      </c>
    </row>
    <row r="83" ht="15.75" customHeight="1" s="23">
      <c r="A83" s="10" t="inlineStr">
        <is>
          <t>VOLTAS</t>
        </is>
      </c>
      <c r="B83" s="11" t="inlineStr">
        <is>
          <t>Consumer Durables &amp; Electronics</t>
        </is>
      </c>
      <c r="C83" s="12">
        <f>IFERROR(__xludf.DUMMYFUNCTION("GOOGLEFINANCE(""NSE:""&amp;$A83,""price"")"),1041.0)</f>
        <v/>
      </c>
      <c r="D83" s="12">
        <f>IFERROR(__xludf.DUMMYFUNCTION("GOOGLEFINANCE(""NSE:""&amp;$A83,""priceopen"")"),1020.0)</f>
        <v/>
      </c>
      <c r="E83" s="12">
        <f>IFERROR(__xludf.DUMMYFUNCTION("GOOGLEFINANCE(""NSE:""&amp;$A83,""high"")"),1041.0)</f>
        <v/>
      </c>
      <c r="F83" s="12">
        <f>IFERROR(__xludf.DUMMYFUNCTION("GOOGLEFINANCE(""NSE:""&amp;$A83,""low"")"),1012.5)</f>
        <v/>
      </c>
      <c r="G83" s="12">
        <f>IFERROR(__xludf.DUMMYFUNCTION("IFERROR(INDEX(GOOGLEFINANCE(""NSE:""&amp;$A83,""close"",TODAY()),2,2),C83)"),1041.0)</f>
        <v/>
      </c>
      <c r="H83" s="12">
        <f>IFERROR(__xludf.DUMMYFUNCTION("GOOGLEFINANCE(""NSE:""&amp;$A83,""closeyest"")"),1020.0)</f>
        <v/>
      </c>
      <c r="I83" s="12">
        <f>IFERROR(C83-H83,"")</f>
        <v/>
      </c>
      <c r="J83" s="13">
        <f>IFERROR((C83-H83)/H83,"")</f>
        <v/>
      </c>
      <c r="K83" s="17">
        <f>IFERROR(__xludf.DUMMYFUNCTION("IFERROR(GOOGLEFINANCE(""NSE:""&amp;$A83,""marketcap""),"""")"),3.430866798E11)</f>
        <v/>
      </c>
      <c r="L83" s="15">
        <f>IFERROR(K83/SUMIF($B$2:$B$214,B83,$K$2:$K$214),"")</f>
        <v/>
      </c>
      <c r="M83" s="16">
        <f>IFERROR(K83/SUM($K$2:$K$214),"")</f>
        <v/>
      </c>
      <c r="N83" t="n">
        <v>4</v>
      </c>
      <c r="O83" t="n">
        <v>3</v>
      </c>
      <c r="P83" s="19" t="n">
        <v>37.72</v>
      </c>
      <c r="R83" s="19" t="n">
        <v>23.12</v>
      </c>
      <c r="S83" t="inlineStr">
        <is>
          <t>NEUTRAL</t>
        </is>
      </c>
      <c r="T83" s="19" t="n">
        <v>28.44</v>
      </c>
      <c r="V83" t="n">
        <v>75.26000000000001</v>
      </c>
    </row>
    <row r="84" ht="15.75" customHeight="1" s="23">
      <c r="A84" s="10" t="inlineStr">
        <is>
          <t>BDL</t>
        </is>
      </c>
      <c r="B84" s="11" t="inlineStr">
        <is>
          <t>Defence</t>
        </is>
      </c>
      <c r="C84" s="12">
        <f>IFERROR(__xludf.DUMMYFUNCTION("GOOGLEFINANCE(""NSE:""&amp;$A84,""price"")"),1125.9)</f>
        <v/>
      </c>
      <c r="D84" s="12">
        <f>IFERROR(__xludf.DUMMYFUNCTION("GOOGLEFINANCE(""NSE:""&amp;$A84,""priceopen"")"),1086.0)</f>
        <v/>
      </c>
      <c r="E84" s="12">
        <f>IFERROR(__xludf.DUMMYFUNCTION("GOOGLEFINANCE(""NSE:""&amp;$A84,""high"")"),1126.7)</f>
        <v/>
      </c>
      <c r="F84" s="12">
        <f>IFERROR(__xludf.DUMMYFUNCTION("GOOGLEFINANCE(""NSE:""&amp;$A84,""low"")"),1076.0)</f>
        <v/>
      </c>
      <c r="G84" s="12">
        <f>IFERROR(__xludf.DUMMYFUNCTION("IFERROR(INDEX(GOOGLEFINANCE(""NSE:""&amp;$A84,""close"",TODAY()),2,2),C84)"),1125.9)</f>
        <v/>
      </c>
      <c r="H84" s="12">
        <f>IFERROR(__xludf.DUMMYFUNCTION("GOOGLEFINANCE(""NSE:""&amp;$A84,""closeyest"")"),1089.0)</f>
        <v/>
      </c>
      <c r="I84" s="12">
        <f>IFERROR(C84-H84,"")</f>
        <v/>
      </c>
      <c r="J84" s="13">
        <f>IFERROR((C84-H84)/H84,"")</f>
        <v/>
      </c>
      <c r="K84" s="17">
        <f>IFERROR(__xludf.DUMMYFUNCTION("IFERROR(GOOGLEFINANCE(""NSE:""&amp;$A84,""marketcap""),"""")"),4.125841875E11)</f>
        <v/>
      </c>
      <c r="L84" s="15">
        <f>IFERROR(K84/SUMIF($B$2:$B$214,B84,$K$2:$K$214),"")</f>
        <v/>
      </c>
      <c r="M84" s="16">
        <f>IFERROR(K84/SUM($K$2:$K$214),"")</f>
        <v/>
      </c>
      <c r="N84" s="17" t="n">
        <v>2</v>
      </c>
      <c r="O84" t="n">
        <v>2</v>
      </c>
      <c r="P84" s="19" t="n">
        <v>40.47</v>
      </c>
      <c r="Q84" s="17" t="inlineStr">
        <is>
          <t>3 DRIVE NEG-DIV BUT ABOVE 60 (52.98, 54.25 BOTH VALUES PRD PENDING)</t>
        </is>
      </c>
      <c r="R84" s="19" t="n">
        <v>33.31</v>
      </c>
      <c r="S84" s="17" t="inlineStr">
        <is>
          <t>NEUTRAL</t>
        </is>
      </c>
      <c r="T84" s="19" t="n">
        <v>44</v>
      </c>
      <c r="U84" s="17" t="inlineStr">
        <is>
          <t xml:space="preserve">2 DRIVE POS-DIV </t>
        </is>
      </c>
      <c r="V84" t="n">
        <v>79.45</v>
      </c>
    </row>
    <row r="85" ht="15.75" customHeight="1" s="23">
      <c r="A85" s="10" t="inlineStr">
        <is>
          <t>BEL</t>
        </is>
      </c>
      <c r="B85" s="11" t="inlineStr">
        <is>
          <t>Defence</t>
        </is>
      </c>
      <c r="C85" s="12">
        <f>IFERROR(__xludf.DUMMYFUNCTION("GOOGLEFINANCE(""NSE:""&amp;$A85,""price"")"),380.0)</f>
        <v/>
      </c>
      <c r="D85" s="12">
        <f>IFERROR(__xludf.DUMMYFUNCTION("GOOGLEFINANCE(""NSE:""&amp;$A85,""priceopen"")"),373.0)</f>
        <v/>
      </c>
      <c r="E85" s="12">
        <f>IFERROR(__xludf.DUMMYFUNCTION("GOOGLEFINANCE(""NSE:""&amp;$A85,""high"")"),380.0)</f>
        <v/>
      </c>
      <c r="F85" s="12">
        <f>IFERROR(__xludf.DUMMYFUNCTION("GOOGLEFINANCE(""NSE:""&amp;$A85,""low"")"),369.4)</f>
        <v/>
      </c>
      <c r="G85" s="12">
        <f>IFERROR(__xludf.DUMMYFUNCTION("IFERROR(INDEX(GOOGLEFINANCE(""NSE:""&amp;$A85,""close"",TODAY()),2,2),C85)"),380.0)</f>
        <v/>
      </c>
      <c r="H85" s="12">
        <f>IFERROR(__xludf.DUMMYFUNCTION("GOOGLEFINANCE(""NSE:""&amp;$A85,""closeyest"")"),373.9)</f>
        <v/>
      </c>
      <c r="I85" s="12">
        <f>IFERROR(C85-H85,"")</f>
        <v/>
      </c>
      <c r="J85" s="13">
        <f>IFERROR((C85-H85)/H85,"")</f>
        <v/>
      </c>
      <c r="K85" s="17">
        <f>IFERROR(__xludf.DUMMYFUNCTION("IFERROR(GOOGLEFINANCE(""NSE:""&amp;$A85,""marketcap""),"""")"),2.776984617584E12)</f>
        <v/>
      </c>
      <c r="L85" s="15">
        <f>IFERROR(K85/SUMIF($B$2:$B$214,B85,$K$2:$K$214),"")</f>
        <v/>
      </c>
      <c r="M85" s="16">
        <f>IFERROR(K85/SUM($K$2:$K$214),"")</f>
        <v/>
      </c>
      <c r="N85" t="n">
        <v>0</v>
      </c>
      <c r="O85" t="n">
        <v>2</v>
      </c>
      <c r="P85" s="19" t="n">
        <v>52.39</v>
      </c>
      <c r="R85" s="19" t="n">
        <v>36.02</v>
      </c>
      <c r="S85" t="inlineStr">
        <is>
          <t>NEUTRAL</t>
        </is>
      </c>
      <c r="T85" s="19" t="n">
        <v>38.79</v>
      </c>
      <c r="V85" t="n">
        <v>72.98</v>
      </c>
    </row>
    <row r="86" ht="15.75" customHeight="1" s="23">
      <c r="A86" s="10" t="inlineStr">
        <is>
          <t>COCHINSHIP</t>
        </is>
      </c>
      <c r="B86" s="11" t="inlineStr">
        <is>
          <t>Defence</t>
        </is>
      </c>
      <c r="C86" s="12">
        <f>IFERROR(__xludf.DUMMYFUNCTION("GOOGLEFINANCE(""NSE:""&amp;$A86,""price"")"),1265.0)</f>
        <v/>
      </c>
      <c r="D86" s="12">
        <f>IFERROR(__xludf.DUMMYFUNCTION("GOOGLEFINANCE(""NSE:""&amp;$A86,""priceopen"")"),1233.0)</f>
        <v/>
      </c>
      <c r="E86" s="12">
        <f>IFERROR(__xludf.DUMMYFUNCTION("GOOGLEFINANCE(""NSE:""&amp;$A86,""high"")"),1266.0)</f>
        <v/>
      </c>
      <c r="F86" s="12">
        <f>IFERROR(__xludf.DUMMYFUNCTION("GOOGLEFINANCE(""NSE:""&amp;$A86,""low"")"),1220.0)</f>
        <v/>
      </c>
      <c r="G86" s="12">
        <f>IFERROR(__xludf.DUMMYFUNCTION("IFERROR(INDEX(GOOGLEFINANCE(""NSE:""&amp;$A86,""close"",TODAY()),2,2),C86)"),1265.0)</f>
        <v/>
      </c>
      <c r="H86" s="12">
        <f>IFERROR(__xludf.DUMMYFUNCTION("GOOGLEFINANCE(""NSE:""&amp;$A86,""closeyest"")"),1232.0)</f>
        <v/>
      </c>
      <c r="I86" s="12">
        <f>IFERROR(C86-H86,"")</f>
        <v/>
      </c>
      <c r="J86" s="13">
        <f>IFERROR((C86-H86)/H86,"")</f>
        <v/>
      </c>
      <c r="K86" s="17">
        <f>IFERROR(__xludf.DUMMYFUNCTION("IFERROR(GOOGLEFINANCE(""NSE:""&amp;$A86,""marketcap""),"""")"),3.3283801605E11)</f>
        <v/>
      </c>
      <c r="L86" s="15">
        <f>IFERROR(K86/SUMIF($B$2:$B$214,B86,$K$2:$K$214),"")</f>
        <v/>
      </c>
      <c r="M86" s="16">
        <f>IFERROR(K86/SUM($K$2:$K$214),"")</f>
        <v/>
      </c>
      <c r="N86" t="n">
        <v>2</v>
      </c>
      <c r="O86" t="n">
        <v>3</v>
      </c>
      <c r="P86" s="19" t="n">
        <v>41.9</v>
      </c>
      <c r="R86" s="19" t="n">
        <v>36.6</v>
      </c>
      <c r="S86" t="inlineStr">
        <is>
          <t>NEUTRAL</t>
        </is>
      </c>
      <c r="T86" s="19" t="n">
        <v>31.81</v>
      </c>
      <c r="V86" t="n">
        <v>63.57</v>
      </c>
    </row>
    <row r="87" ht="15.75" customHeight="1" s="23">
      <c r="A87" s="10" t="inlineStr">
        <is>
          <t>HAL</t>
        </is>
      </c>
      <c r="B87" s="11" t="inlineStr">
        <is>
          <t>Defence</t>
        </is>
      </c>
      <c r="C87" s="12">
        <f>IFERROR(__xludf.DUMMYFUNCTION("GOOGLEFINANCE(""NSE:""&amp;$A87,""price"")"),4869.0)</f>
        <v/>
      </c>
      <c r="D87" s="12">
        <f>IFERROR(__xludf.DUMMYFUNCTION("GOOGLEFINANCE(""NSE:""&amp;$A87,""priceopen"")"),4760.0)</f>
        <v/>
      </c>
      <c r="E87" s="12">
        <f>IFERROR(__xludf.DUMMYFUNCTION("GOOGLEFINANCE(""NSE:""&amp;$A87,""high"")"),4875.0)</f>
        <v/>
      </c>
      <c r="F87" s="12">
        <f>IFERROR(__xludf.DUMMYFUNCTION("GOOGLEFINANCE(""NSE:""&amp;$A87,""low"")"),4720.0)</f>
        <v/>
      </c>
      <c r="G87" s="12">
        <f>IFERROR(__xludf.DUMMYFUNCTION("IFERROR(INDEX(GOOGLEFINANCE(""NSE:""&amp;$A87,""close"",TODAY()),2,2),C87)"),4869.0)</f>
        <v/>
      </c>
      <c r="H87" s="12">
        <f>IFERROR(__xludf.DUMMYFUNCTION("GOOGLEFINANCE(""NSE:""&amp;$A87,""closeyest"")"),4760.0)</f>
        <v/>
      </c>
      <c r="I87" s="12">
        <f>IFERROR(C87-H87,"")</f>
        <v/>
      </c>
      <c r="J87" s="13">
        <f>IFERROR((C87-H87)/H87,"")</f>
        <v/>
      </c>
      <c r="K87" s="17">
        <f>IFERROR(__xludf.DUMMYFUNCTION("IFERROR(GOOGLEFINANCE(""NSE:""&amp;$A87,""marketcap""),"""")"),3.255841872E12)</f>
        <v/>
      </c>
      <c r="L87" s="15">
        <f>IFERROR(K87/SUMIF($B$2:$B$214,B87,$K$2:$K$214),"")</f>
        <v/>
      </c>
      <c r="M87" s="16">
        <f>IFERROR(K87/SUM($K$2:$K$214),"")</f>
        <v/>
      </c>
      <c r="N87" t="n">
        <v>2</v>
      </c>
      <c r="O87" t="n">
        <v>0</v>
      </c>
      <c r="P87" s="19" t="n">
        <v>58.32</v>
      </c>
      <c r="R87" s="19" t="n">
        <v>65.51000000000001</v>
      </c>
      <c r="S87" t="inlineStr">
        <is>
          <t>NEUTRAL</t>
        </is>
      </c>
      <c r="T87" s="19" t="n">
        <v>54.06</v>
      </c>
      <c r="V87" t="n">
        <v>82.34999999999999</v>
      </c>
    </row>
    <row r="88" ht="15.75" customHeight="1" s="23">
      <c r="A88" s="10" t="inlineStr">
        <is>
          <t>MAZDOCK</t>
        </is>
      </c>
      <c r="B88" s="11" t="inlineStr">
        <is>
          <t>Defence</t>
        </is>
      </c>
      <c r="C88" s="12">
        <f>IFERROR(__xludf.DUMMYFUNCTION("GOOGLEFINANCE(""NSE:""&amp;$A88,""price"")"),2120.0)</f>
        <v/>
      </c>
      <c r="D88" s="12">
        <f>IFERROR(__xludf.DUMMYFUNCTION("GOOGLEFINANCE(""NSE:""&amp;$A88,""priceopen"")"),2027.0)</f>
        <v/>
      </c>
      <c r="E88" s="12">
        <f>IFERROR(__xludf.DUMMYFUNCTION("GOOGLEFINANCE(""NSE:""&amp;$A88,""high"")"),2121.3)</f>
        <v/>
      </c>
      <c r="F88" s="12">
        <f>IFERROR(__xludf.DUMMYFUNCTION("GOOGLEFINANCE(""NSE:""&amp;$A88,""low"")"),2005.0)</f>
        <v/>
      </c>
      <c r="G88" s="12">
        <f>IFERROR(__xludf.DUMMYFUNCTION("IFERROR(INDEX(GOOGLEFINANCE(""NSE:""&amp;$A88,""close"",TODAY()),2,2),C88)"),2120.0)</f>
        <v/>
      </c>
      <c r="H88" s="12">
        <f>IFERROR(__xludf.DUMMYFUNCTION("GOOGLEFINANCE(""NSE:""&amp;$A88,""closeyest"")"),2027.0)</f>
        <v/>
      </c>
      <c r="I88" s="12">
        <f>IFERROR(C88-H88,"")</f>
        <v/>
      </c>
      <c r="J88" s="13">
        <f>IFERROR((C88-H88)/H88,"")</f>
        <v/>
      </c>
      <c r="K88" s="17">
        <f>IFERROR(__xludf.DUMMYFUNCTION("IFERROR(GOOGLEFINANCE(""NSE:""&amp;$A88,""marketcap""),"""")"),8.55558530147E11)</f>
        <v/>
      </c>
      <c r="L88" s="15">
        <f>IFERROR(K88/SUMIF($B$2:$B$214,B88,$K$2:$K$214),"")</f>
        <v/>
      </c>
      <c r="M88" s="16">
        <f>IFERROR(K88/SUM($K$2:$K$214),"")</f>
        <v/>
      </c>
      <c r="N88" t="n">
        <v>0</v>
      </c>
      <c r="O88" t="n">
        <v>2</v>
      </c>
      <c r="P88" s="19" t="n">
        <v>41.14</v>
      </c>
      <c r="R88" s="19" t="n">
        <v>36.73</v>
      </c>
      <c r="S88" t="inlineStr">
        <is>
          <t>NEUTRAL</t>
        </is>
      </c>
      <c r="T88" s="19" t="n">
        <v>40.96</v>
      </c>
      <c r="V88" t="n">
        <v>80.70999999999999</v>
      </c>
    </row>
    <row r="89" ht="15.75" customHeight="1" s="23">
      <c r="A89" s="10" t="inlineStr">
        <is>
          <t>BRITANNIA</t>
        </is>
      </c>
      <c r="B89" s="11" t="inlineStr">
        <is>
          <t>FMCG</t>
        </is>
      </c>
      <c r="C89" s="12">
        <f>IFERROR(__xludf.DUMMYFUNCTION("GOOGLEFINANCE(""NSE:""&amp;$A89,""price"")"),4801.3)</f>
        <v/>
      </c>
      <c r="D89" s="12">
        <f>IFERROR(__xludf.DUMMYFUNCTION("GOOGLEFINANCE(""NSE:""&amp;$A89,""priceopen"")"),4779.9)</f>
        <v/>
      </c>
      <c r="E89" s="12">
        <f>IFERROR(__xludf.DUMMYFUNCTION("GOOGLEFINANCE(""NSE:""&amp;$A89,""high"")"),4824.0)</f>
        <v/>
      </c>
      <c r="F89" s="12">
        <f>IFERROR(__xludf.DUMMYFUNCTION("GOOGLEFINANCE(""NSE:""&amp;$A89,""low"")"),4760.1)</f>
        <v/>
      </c>
      <c r="G89" s="12">
        <f>IFERROR(__xludf.DUMMYFUNCTION("IFERROR(INDEX(GOOGLEFINANCE(""NSE:""&amp;$A89,""close"",TODAY()),2,2),C89)"),4801.3)</f>
        <v/>
      </c>
      <c r="H89" s="12">
        <f>IFERROR(__xludf.DUMMYFUNCTION("GOOGLEFINANCE(""NSE:""&amp;$A89,""closeyest"")"),4774.5)</f>
        <v/>
      </c>
      <c r="I89" s="12">
        <f>IFERROR(C89-H89,"")</f>
        <v/>
      </c>
      <c r="J89" s="13">
        <f>IFERROR((C89-H89)/H89,"")</f>
        <v/>
      </c>
      <c r="K89" s="17">
        <f>IFERROR(__xludf.DUMMYFUNCTION("IFERROR(GOOGLEFINANCE(""NSE:""&amp;$A89,""marketcap""),"""")"),1.1567336116E12)</f>
        <v/>
      </c>
      <c r="L89" s="15">
        <f>IFERROR(K89/SUMIF($B$2:$B$214,B89,$K$2:$K$214),"")</f>
        <v/>
      </c>
      <c r="M89" s="16">
        <f>IFERROR(K89/SUM($K$2:$K$214),"")</f>
        <v/>
      </c>
      <c r="N89" t="n">
        <v>0</v>
      </c>
      <c r="O89" t="n">
        <v>2</v>
      </c>
      <c r="P89" s="19" t="n">
        <v>37.84</v>
      </c>
      <c r="R89" s="19" t="n">
        <v>37.6</v>
      </c>
      <c r="S89" t="inlineStr">
        <is>
          <t>NEUTRAL</t>
        </is>
      </c>
      <c r="T89" s="19" t="n">
        <v>49.94</v>
      </c>
      <c r="V89" t="n">
        <v>78.84</v>
      </c>
    </row>
    <row r="90" ht="15.75" customHeight="1" s="23">
      <c r="A90" s="10" t="inlineStr">
        <is>
          <t>COLPAL</t>
        </is>
      </c>
      <c r="B90" s="11" t="inlineStr">
        <is>
          <t>FMCG</t>
        </is>
      </c>
      <c r="C90" s="12">
        <f>IFERROR(__xludf.DUMMYFUNCTION("GOOGLEFINANCE(""NSE:""&amp;$A90,""price"")"),1801.0)</f>
        <v/>
      </c>
      <c r="D90" s="12">
        <f>IFERROR(__xludf.DUMMYFUNCTION("GOOGLEFINANCE(""NSE:""&amp;$A90,""priceopen"")"),1773.3)</f>
        <v/>
      </c>
      <c r="E90" s="12">
        <f>IFERROR(__xludf.DUMMYFUNCTION("GOOGLEFINANCE(""NSE:""&amp;$A90,""high"")"),1813.2)</f>
        <v/>
      </c>
      <c r="F90" s="12">
        <f>IFERROR(__xludf.DUMMYFUNCTION("GOOGLEFINANCE(""NSE:""&amp;$A90,""low"")"),1766.9)</f>
        <v/>
      </c>
      <c r="G90" s="12">
        <f>IFERROR(__xludf.DUMMYFUNCTION("IFERROR(INDEX(GOOGLEFINANCE(""NSE:""&amp;$A90,""close"",TODAY()),2,2),C90)"),1801.0)</f>
        <v/>
      </c>
      <c r="H90" s="12">
        <f>IFERROR(__xludf.DUMMYFUNCTION("GOOGLEFINANCE(""NSE:""&amp;$A90,""closeyest"")"),1767.0)</f>
        <v/>
      </c>
      <c r="I90" s="12">
        <f>IFERROR(C90-H90,"")</f>
        <v/>
      </c>
      <c r="J90" s="13">
        <f>IFERROR((C90-H90)/H90,"")</f>
        <v/>
      </c>
      <c r="K90" s="17">
        <f>IFERROR(__xludf.DUMMYFUNCTION("IFERROR(GOOGLEFINANCE(""NSE:""&amp;$A90,""marketcap""),"""")"),4.888359248E11)</f>
        <v/>
      </c>
      <c r="L90" s="15">
        <f>IFERROR(K90/SUMIF($B$2:$B$214,B90,$K$2:$K$214),"")</f>
        <v/>
      </c>
      <c r="M90" s="16">
        <f>IFERROR(K90/SUM($K$2:$K$214),"")</f>
        <v/>
      </c>
      <c r="N90" t="n">
        <v>0</v>
      </c>
      <c r="O90" t="n">
        <v>2</v>
      </c>
      <c r="P90" s="19" t="n">
        <v>36.95</v>
      </c>
      <c r="R90" s="19" t="n">
        <v>34.76</v>
      </c>
      <c r="S90" t="inlineStr">
        <is>
          <t>NEUTRAL</t>
        </is>
      </c>
      <c r="T90" s="19" t="n">
        <v>43.9</v>
      </c>
      <c r="V90" t="n">
        <v>72.03</v>
      </c>
    </row>
    <row r="91" ht="15.75" customHeight="1" s="23">
      <c r="A91" s="10" t="inlineStr">
        <is>
          <t>DABUR</t>
        </is>
      </c>
      <c r="B91" s="11" t="inlineStr">
        <is>
          <t>FMCG</t>
        </is>
      </c>
      <c r="C91" s="12">
        <f>IFERROR(__xludf.DUMMYFUNCTION("GOOGLEFINANCE(""NSE:""&amp;$A91,""price"")"),378.75)</f>
        <v/>
      </c>
      <c r="D91" s="12">
        <f>IFERROR(__xludf.DUMMYFUNCTION("GOOGLEFINANCE(""NSE:""&amp;$A91,""priceopen"")"),376.0)</f>
        <v/>
      </c>
      <c r="E91" s="12">
        <f>IFERROR(__xludf.DUMMYFUNCTION("GOOGLEFINANCE(""NSE:""&amp;$A91,""high"")"),378.95)</f>
        <v/>
      </c>
      <c r="F91" s="12">
        <f>IFERROR(__xludf.DUMMYFUNCTION("GOOGLEFINANCE(""NSE:""&amp;$A91,""low"")"),372.8)</f>
        <v/>
      </c>
      <c r="G91" s="12">
        <f>IFERROR(__xludf.DUMMYFUNCTION("IFERROR(INDEX(GOOGLEFINANCE(""NSE:""&amp;$A91,""close"",TODAY()),2,2),C91)"),378.75)</f>
        <v/>
      </c>
      <c r="H91" s="12">
        <f>IFERROR(__xludf.DUMMYFUNCTION("GOOGLEFINANCE(""NSE:""&amp;$A91,""closeyest"")"),374.4)</f>
        <v/>
      </c>
      <c r="I91" s="12">
        <f>IFERROR(C91-H91,"")</f>
        <v/>
      </c>
      <c r="J91" s="13">
        <f>IFERROR((C91-H91)/H91,"")</f>
        <v/>
      </c>
      <c r="K91" s="17">
        <f>IFERROR(__xludf.DUMMYFUNCTION("IFERROR(GOOGLEFINANCE(""NSE:""&amp;$A91,""marketcap""),"""")"),6.70562426E11)</f>
        <v/>
      </c>
      <c r="L91" s="15">
        <f>IFERROR(K91/SUMIF($B$2:$B$214,B91,$K$2:$K$214),"")</f>
        <v/>
      </c>
      <c r="M91" s="16">
        <f>IFERROR(K91/SUM($K$2:$K$214),"")</f>
        <v/>
      </c>
      <c r="N91" t="n">
        <v>0</v>
      </c>
      <c r="O91" t="n">
        <v>8</v>
      </c>
      <c r="P91" s="19" t="n">
        <v>29.96</v>
      </c>
      <c r="R91" s="19" t="n">
        <v>28.74</v>
      </c>
      <c r="S91" t="inlineStr">
        <is>
          <t>STRONG BEARISH</t>
        </is>
      </c>
      <c r="T91" s="19" t="n">
        <v>50.65</v>
      </c>
      <c r="V91" t="n">
        <v>89.77</v>
      </c>
    </row>
    <row r="92" ht="15.75" customHeight="1" s="23">
      <c r="A92" s="10" t="inlineStr">
        <is>
          <t>GODFRYPHLP</t>
        </is>
      </c>
      <c r="B92" s="11" t="inlineStr">
        <is>
          <t>FMCG</t>
        </is>
      </c>
      <c r="C92" s="12">
        <f>IFERROR(__xludf.DUMMYFUNCTION("GOOGLEFINANCE(""NSE:""&amp;$A92,""price"")"),1850.0)</f>
        <v/>
      </c>
      <c r="D92" s="12">
        <f>IFERROR(__xludf.DUMMYFUNCTION("GOOGLEFINANCE(""NSE:""&amp;$A92,""priceopen"")"),1791.8)</f>
        <v/>
      </c>
      <c r="E92" s="12">
        <f>IFERROR(__xludf.DUMMYFUNCTION("GOOGLEFINANCE(""NSE:""&amp;$A92,""high"")"),1850.0)</f>
        <v/>
      </c>
      <c r="F92" s="12">
        <f>IFERROR(__xludf.DUMMYFUNCTION("GOOGLEFINANCE(""NSE:""&amp;$A92,""low"")"),1781.6)</f>
        <v/>
      </c>
      <c r="G92" s="12">
        <f>IFERROR(__xludf.DUMMYFUNCTION("IFERROR(INDEX(GOOGLEFINANCE(""NSE:""&amp;$A92,""close"",TODAY()),2,2),C92)"),1850.0)</f>
        <v/>
      </c>
      <c r="H92" s="12">
        <f>IFERROR(__xludf.DUMMYFUNCTION("GOOGLEFINANCE(""NSE:""&amp;$A92,""closeyest"")"),1791.8)</f>
        <v/>
      </c>
      <c r="I92" s="12">
        <f>IFERROR(C92-H92,"")</f>
        <v/>
      </c>
      <c r="J92" s="13">
        <f>IFERROR((C92-H92)/H92,"")</f>
        <v/>
      </c>
      <c r="K92" s="17">
        <f>IFERROR(__xludf.DUMMYFUNCTION("IFERROR(GOOGLEFINANCE(""NSE:""&amp;$A92,""marketcap""),"""")"),2.88566145E11)</f>
        <v/>
      </c>
      <c r="L92" s="15">
        <f>IFERROR(K92/SUMIF($B$2:$B$214,B92,$K$2:$K$214),"")</f>
        <v/>
      </c>
      <c r="M92" s="16">
        <f>IFERROR(K92/SUM($K$2:$K$214),"")</f>
        <v/>
      </c>
      <c r="N92" t="n">
        <v>0</v>
      </c>
      <c r="O92" t="n">
        <v>2</v>
      </c>
      <c r="P92" s="19" t="n">
        <v>17.92</v>
      </c>
      <c r="R92" s="19" t="n">
        <v>36.94</v>
      </c>
      <c r="S92" t="inlineStr">
        <is>
          <t>NEUTRAL</t>
        </is>
      </c>
      <c r="T92" s="19" t="n">
        <v>36.35</v>
      </c>
      <c r="V92" t="n">
        <v>79.55</v>
      </c>
    </row>
    <row r="93" ht="15.75" customHeight="1" s="23">
      <c r="A93" s="10" t="inlineStr">
        <is>
          <t>GODREJCP</t>
        </is>
      </c>
      <c r="B93" s="11" t="inlineStr">
        <is>
          <t>FMCG</t>
        </is>
      </c>
      <c r="C93" s="12">
        <f>IFERROR(__xludf.DUMMYFUNCTION("GOOGLEFINANCE(""NSE:""&amp;$A93,""price"")"),868.75)</f>
        <v/>
      </c>
      <c r="D93" s="12">
        <f>IFERROR(__xludf.DUMMYFUNCTION("GOOGLEFINANCE(""NSE:""&amp;$A93,""priceopen"")"),848.0)</f>
        <v/>
      </c>
      <c r="E93" s="12">
        <f>IFERROR(__xludf.DUMMYFUNCTION("GOOGLEFINANCE(""NSE:""&amp;$A93,""high"")"),868.75)</f>
        <v/>
      </c>
      <c r="F93" s="12">
        <f>IFERROR(__xludf.DUMMYFUNCTION("GOOGLEFINANCE(""NSE:""&amp;$A93,""low"")"),846.1)</f>
        <v/>
      </c>
      <c r="G93" s="12">
        <f>IFERROR(__xludf.DUMMYFUNCTION("IFERROR(INDEX(GOOGLEFINANCE(""NSE:""&amp;$A93,""close"",TODAY()),2,2),C93)"),868.75)</f>
        <v/>
      </c>
      <c r="H93" s="12">
        <f>IFERROR(__xludf.DUMMYFUNCTION("GOOGLEFINANCE(""NSE:""&amp;$A93,""closeyest"")"),852.05)</f>
        <v/>
      </c>
      <c r="I93" s="12">
        <f>IFERROR(C93-H93,"")</f>
        <v/>
      </c>
      <c r="J93" s="13">
        <f>IFERROR((C93-H93)/H93,"")</f>
        <v/>
      </c>
      <c r="K93" s="17">
        <f>IFERROR(__xludf.DUMMYFUNCTION("IFERROR(GOOGLEFINANCE(""NSE:""&amp;$A93,""marketcap""),"""")"),8.73577096E11)</f>
        <v/>
      </c>
      <c r="L93" s="15">
        <f>IFERROR(K93/SUMIF($B$2:$B$214,B93,$K$2:$K$214),"")</f>
        <v/>
      </c>
      <c r="M93" s="16">
        <f>IFERROR(K93/SUM($K$2:$K$214),"")</f>
        <v/>
      </c>
      <c r="N93" t="n">
        <v>4</v>
      </c>
      <c r="O93" t="n">
        <v>2</v>
      </c>
      <c r="P93" s="19" t="n">
        <v>32.83</v>
      </c>
      <c r="R93" s="19" t="n">
        <v>17.56</v>
      </c>
      <c r="S93" t="inlineStr">
        <is>
          <t>NEUTRAL</t>
        </is>
      </c>
      <c r="T93" s="19" t="n">
        <v>46.7</v>
      </c>
      <c r="V93" t="n">
        <v>66.11</v>
      </c>
    </row>
    <row r="94" ht="15.75" customHeight="1" s="23">
      <c r="A94" s="10" t="inlineStr">
        <is>
          <t>HINDUNILVR</t>
        </is>
      </c>
      <c r="B94" s="11" t="inlineStr">
        <is>
          <t>FMCG</t>
        </is>
      </c>
      <c r="C94" s="12">
        <f>IFERROR(__xludf.DUMMYFUNCTION("GOOGLEFINANCE(""NSE:""&amp;$A94,""price"")"),1875.5)</f>
        <v/>
      </c>
      <c r="D94" s="12">
        <f>IFERROR(__xludf.DUMMYFUNCTION("GOOGLEFINANCE(""NSE:""&amp;$A94,""priceopen"")"),1827.8)</f>
        <v/>
      </c>
      <c r="E94" s="12">
        <f>IFERROR(__xludf.DUMMYFUNCTION("GOOGLEFINANCE(""NSE:""&amp;$A94,""high"")"),1882.9)</f>
        <v/>
      </c>
      <c r="F94" s="12">
        <f>IFERROR(__xludf.DUMMYFUNCTION("GOOGLEFINANCE(""NSE:""&amp;$A94,""low"")"),1814.4)</f>
        <v/>
      </c>
      <c r="G94" s="12">
        <f>IFERROR(__xludf.DUMMYFUNCTION("IFERROR(INDEX(GOOGLEFINANCE(""NSE:""&amp;$A94,""close"",TODAY()),2,2),C94)"),1875.5)</f>
        <v/>
      </c>
      <c r="H94" s="12">
        <f>IFERROR(__xludf.DUMMYFUNCTION("GOOGLEFINANCE(""NSE:""&amp;$A94,""closeyest"")"),1820.7)</f>
        <v/>
      </c>
      <c r="I94" s="12">
        <f>IFERROR(C94-H94,"")</f>
        <v/>
      </c>
      <c r="J94" s="13">
        <f>IFERROR((C94-H94)/H94,"")</f>
        <v/>
      </c>
      <c r="K94" s="17">
        <f>IFERROR(__xludf.DUMMYFUNCTION("IFERROR(GOOGLEFINANCE(""NSE:""&amp;$A94,""marketcap""),"""")"),4.4046886455E12)</f>
        <v/>
      </c>
      <c r="L94" s="15">
        <f>IFERROR(K94/SUMIF($B$2:$B$214,B94,$K$2:$K$214),"")</f>
        <v/>
      </c>
      <c r="M94" s="16">
        <f>IFERROR(K94/SUM($K$2:$K$214),"")</f>
        <v/>
      </c>
      <c r="N94" t="n">
        <v>0</v>
      </c>
      <c r="O94" t="n">
        <v>2</v>
      </c>
      <c r="P94" s="19" t="n">
        <v>22.22</v>
      </c>
      <c r="R94" s="19" t="n">
        <v>18.76</v>
      </c>
      <c r="S94" t="inlineStr">
        <is>
          <t>NEUTRAL</t>
        </is>
      </c>
      <c r="T94" s="19" t="n">
        <v>43.12</v>
      </c>
      <c r="V94" t="n">
        <v>81.75</v>
      </c>
    </row>
    <row r="95" ht="15.75" customHeight="1" s="23">
      <c r="A95" s="10" t="inlineStr">
        <is>
          <t>ITC</t>
        </is>
      </c>
      <c r="B95" s="11" t="inlineStr">
        <is>
          <t>FMCG</t>
        </is>
      </c>
      <c r="C95" s="12">
        <f>IFERROR(__xludf.DUMMYFUNCTION("GOOGLEFINANCE(""NSE:""&amp;$A95,""price"")"),261.0)</f>
        <v/>
      </c>
      <c r="D95" s="12">
        <f>IFERROR(__xludf.DUMMYFUNCTION("GOOGLEFINANCE(""NSE:""&amp;$A95,""priceopen"")"),259.0)</f>
        <v/>
      </c>
      <c r="E95" s="12">
        <f>IFERROR(__xludf.DUMMYFUNCTION("GOOGLEFINANCE(""NSE:""&amp;$A95,""high"")"),261.85)</f>
        <v/>
      </c>
      <c r="F95" s="12">
        <f>IFERROR(__xludf.DUMMYFUNCTION("GOOGLEFINANCE(""NSE:""&amp;$A95,""low"")"),257.2)</f>
        <v/>
      </c>
      <c r="G95" s="12">
        <f>IFERROR(__xludf.DUMMYFUNCTION("IFERROR(INDEX(GOOGLEFINANCE(""NSE:""&amp;$A95,""close"",TODAY()),2,2),C95)"),261.0)</f>
        <v/>
      </c>
      <c r="H95" s="12">
        <f>IFERROR(__xludf.DUMMYFUNCTION("GOOGLEFINANCE(""NSE:""&amp;$A95,""closeyest"")"),257.9)</f>
        <v/>
      </c>
      <c r="I95" s="12">
        <f>IFERROR(C95-H95,"")</f>
        <v/>
      </c>
      <c r="J95" s="13">
        <f>IFERROR((C95-H95)/H95,"")</f>
        <v/>
      </c>
      <c r="K95" s="17">
        <f>IFERROR(__xludf.DUMMYFUNCTION("IFERROR(GOOGLEFINANCE(""NSE:""&amp;$A95,""marketcap""),"""")"),3.266915293234E12)</f>
        <v/>
      </c>
      <c r="L95" s="15">
        <f>IFERROR(K95/SUMIF($B$2:$B$214,B95,$K$2:$K$214),"")</f>
        <v/>
      </c>
      <c r="M95" s="16">
        <f>IFERROR(K95/SUM($K$2:$K$214),"")</f>
        <v/>
      </c>
      <c r="N95" t="n">
        <v>0</v>
      </c>
      <c r="O95" t="n">
        <v>2</v>
      </c>
      <c r="P95" s="19" t="n">
        <v>22.23</v>
      </c>
      <c r="R95" s="19" t="n">
        <v>36.4</v>
      </c>
      <c r="S95" t="inlineStr">
        <is>
          <t>NEUTRAL</t>
        </is>
      </c>
      <c r="T95" s="19" t="n">
        <v>43.43</v>
      </c>
      <c r="V95" t="n">
        <v>66.36</v>
      </c>
    </row>
    <row r="96" ht="15.75" customHeight="1" s="23">
      <c r="A96" s="10" t="inlineStr">
        <is>
          <t>MARICO</t>
        </is>
      </c>
      <c r="B96" s="11" t="inlineStr">
        <is>
          <t>FMCG</t>
        </is>
      </c>
      <c r="C96" s="12">
        <f>IFERROR(__xludf.DUMMYFUNCTION("GOOGLEFINANCE(""NSE:""&amp;$A96,""price"")"),782.8)</f>
        <v/>
      </c>
      <c r="D96" s="12">
        <f>IFERROR(__xludf.DUMMYFUNCTION("GOOGLEFINANCE(""NSE:""&amp;$A96,""priceopen"")"),780.85)</f>
        <v/>
      </c>
      <c r="E96" s="12">
        <f>IFERROR(__xludf.DUMMYFUNCTION("GOOGLEFINANCE(""NSE:""&amp;$A96,""high"")"),784.8)</f>
        <v/>
      </c>
      <c r="F96" s="12">
        <f>IFERROR(__xludf.DUMMYFUNCTION("GOOGLEFINANCE(""NSE:""&amp;$A96,""low"")"),772.95)</f>
        <v/>
      </c>
      <c r="G96" s="12">
        <f>IFERROR(__xludf.DUMMYFUNCTION("IFERROR(INDEX(GOOGLEFINANCE(""NSE:""&amp;$A96,""close"",TODAY()),2,2),C96)"),782.8)</f>
        <v/>
      </c>
      <c r="H96" s="12">
        <f>IFERROR(__xludf.DUMMYFUNCTION("GOOGLEFINANCE(""NSE:""&amp;$A96,""closeyest"")"),782.4)</f>
        <v/>
      </c>
      <c r="I96" s="12">
        <f>IFERROR(C96-H96,"")</f>
        <v/>
      </c>
      <c r="J96" s="13">
        <f>IFERROR((C96-H96)/H96,"")</f>
        <v/>
      </c>
      <c r="K96" s="17">
        <f>IFERROR(__xludf.DUMMYFUNCTION("IFERROR(GOOGLEFINANCE(""NSE:""&amp;$A96,""marketcap""),"""")"),1.0122193075E12)</f>
        <v/>
      </c>
      <c r="L96" s="15">
        <f>IFERROR(K96/SUMIF($B$2:$B$214,B96,$K$2:$K$214),"")</f>
        <v/>
      </c>
      <c r="M96" s="16">
        <f>IFERROR(K96/SUM($K$2:$K$214),"")</f>
        <v/>
      </c>
      <c r="N96" t="n">
        <v>2</v>
      </c>
      <c r="O96" t="n">
        <v>3</v>
      </c>
      <c r="P96" s="19" t="n">
        <v>57.58</v>
      </c>
      <c r="R96" s="19" t="n">
        <v>33.45</v>
      </c>
      <c r="S96" t="inlineStr">
        <is>
          <t>NEUTRAL</t>
        </is>
      </c>
      <c r="T96" s="19" t="n">
        <v>29.04</v>
      </c>
      <c r="V96" t="n">
        <v>49.38</v>
      </c>
    </row>
    <row r="97" ht="15.75" customHeight="1" s="23">
      <c r="A97" s="10" t="inlineStr">
        <is>
          <t>NESTLEIND</t>
        </is>
      </c>
      <c r="B97" s="11" t="inlineStr">
        <is>
          <t>FMCG</t>
        </is>
      </c>
      <c r="C97" s="12">
        <f>IFERROR(__xludf.DUMMYFUNCTION("GOOGLEFINANCE(""NSE:""&amp;$A97,""price"")"),1334.0)</f>
        <v/>
      </c>
      <c r="D97" s="12">
        <f>IFERROR(__xludf.DUMMYFUNCTION("GOOGLEFINANCE(""NSE:""&amp;$A97,""priceopen"")"),1311.0)</f>
        <v/>
      </c>
      <c r="E97" s="12">
        <f>IFERROR(__xludf.DUMMYFUNCTION("GOOGLEFINANCE(""NSE:""&amp;$A97,""high"")"),1354.5)</f>
        <v/>
      </c>
      <c r="F97" s="12">
        <f>IFERROR(__xludf.DUMMYFUNCTION("GOOGLEFINANCE(""NSE:""&amp;$A97,""low"")"),1306.9)</f>
        <v/>
      </c>
      <c r="G97" s="12">
        <f>IFERROR(__xludf.DUMMYFUNCTION("IFERROR(INDEX(GOOGLEFINANCE(""NSE:""&amp;$A97,""close"",TODAY()),2,2),C97)"),1334.0)</f>
        <v/>
      </c>
      <c r="H97" s="12">
        <f>IFERROR(__xludf.DUMMYFUNCTION("GOOGLEFINANCE(""NSE:""&amp;$A97,""closeyest"")"),1324.7)</f>
        <v/>
      </c>
      <c r="I97" s="12">
        <f>IFERROR(C97-H97,"")</f>
        <v/>
      </c>
      <c r="J97" s="13">
        <f>IFERROR((C97-H97)/H97,"")</f>
        <v/>
      </c>
      <c r="K97" s="17">
        <f>IFERROR(__xludf.DUMMYFUNCTION("IFERROR(GOOGLEFINANCE(""NSE:""&amp;$A97,""marketcap""),"""")"),2.572370876E12)</f>
        <v/>
      </c>
      <c r="L97" s="15">
        <f>IFERROR(K97/SUMIF($B$2:$B$214,B97,$K$2:$K$214),"")</f>
        <v/>
      </c>
      <c r="M97" s="16">
        <f>IFERROR(K97/SUM($K$2:$K$214),"")</f>
        <v/>
      </c>
      <c r="N97" t="n">
        <v>0</v>
      </c>
      <c r="O97" t="n">
        <v>1</v>
      </c>
      <c r="P97" s="19" t="n">
        <v>61.14</v>
      </c>
      <c r="R97" s="19" t="n">
        <v>41.98</v>
      </c>
      <c r="S97" t="inlineStr">
        <is>
          <t>NEUTRAL</t>
        </is>
      </c>
      <c r="T97" s="19" t="n">
        <v>49.23</v>
      </c>
      <c r="V97" t="n">
        <v>72.62</v>
      </c>
    </row>
    <row r="98" ht="15.75" customHeight="1" s="23">
      <c r="A98" s="10" t="inlineStr">
        <is>
          <t>PATANJALI</t>
        </is>
      </c>
      <c r="B98" s="11" t="inlineStr">
        <is>
          <t>FMCG</t>
        </is>
      </c>
      <c r="C98" s="12">
        <f>IFERROR(__xludf.DUMMYFUNCTION("GOOGLEFINANCE(""NSE:""&amp;$A98,""price"")"),367.5)</f>
        <v/>
      </c>
      <c r="D98" s="12">
        <f>IFERROR(__xludf.DUMMYFUNCTION("GOOGLEFINANCE(""NSE:""&amp;$A98,""priceopen"")"),360.25)</f>
        <v/>
      </c>
      <c r="E98" s="12">
        <f>IFERROR(__xludf.DUMMYFUNCTION("GOOGLEFINANCE(""NSE:""&amp;$A98,""high"")"),367.5)</f>
        <v/>
      </c>
      <c r="F98" s="12">
        <f>IFERROR(__xludf.DUMMYFUNCTION("GOOGLEFINANCE(""NSE:""&amp;$A98,""low"")"),357.7)</f>
        <v/>
      </c>
      <c r="G98" s="12">
        <f>IFERROR(__xludf.DUMMYFUNCTION("IFERROR(INDEX(GOOGLEFINANCE(""NSE:""&amp;$A98,""close"",TODAY()),2,2),C98)"),367.5)</f>
        <v/>
      </c>
      <c r="H98" s="12">
        <f>IFERROR(__xludf.DUMMYFUNCTION("GOOGLEFINANCE(""NSE:""&amp;$A98,""closeyest"")"),361.35)</f>
        <v/>
      </c>
      <c r="I98" s="12">
        <f>IFERROR(C98-H98,"")</f>
        <v/>
      </c>
      <c r="J98" s="13">
        <f>IFERROR((C98-H98)/H98,"")</f>
        <v/>
      </c>
      <c r="K98" s="17">
        <f>IFERROR(__xludf.DUMMYFUNCTION("IFERROR(GOOGLEFINANCE(""NSE:""&amp;$A98,""marketcap""),"""")"),1.33311858537E11)</f>
        <v/>
      </c>
      <c r="L98" s="15">
        <f>IFERROR(K98/SUMIF($B$2:$B$214,B98,$K$2:$K$214),"")</f>
        <v/>
      </c>
      <c r="M98" s="16">
        <f>IFERROR(K98/SUM($K$2:$K$214),"")</f>
        <v/>
      </c>
      <c r="N98" t="n">
        <v>0</v>
      </c>
      <c r="O98" t="n">
        <v>2</v>
      </c>
      <c r="P98" s="19" t="n">
        <v>17.69</v>
      </c>
      <c r="R98" s="19" t="n">
        <v>41.02</v>
      </c>
      <c r="S98" t="inlineStr">
        <is>
          <t>NEUTRAL</t>
        </is>
      </c>
      <c r="T98" s="19" t="n">
        <v>25.74</v>
      </c>
      <c r="V98" t="n">
        <v>71.02</v>
      </c>
    </row>
    <row r="99" ht="15.75" customHeight="1" s="23">
      <c r="A99" s="10" t="inlineStr">
        <is>
          <t>RADICO</t>
        </is>
      </c>
      <c r="B99" s="11" t="inlineStr">
        <is>
          <t>FMCG</t>
        </is>
      </c>
      <c r="C99" s="12">
        <f>IFERROR(__xludf.DUMMYFUNCTION("GOOGLEFINANCE(""NSE:""&amp;$A99,""price"")"),4540.0)</f>
        <v/>
      </c>
      <c r="D99" s="12">
        <f>IFERROR(__xludf.DUMMYFUNCTION("GOOGLEFINANCE(""NSE:""&amp;$A99,""priceopen"")"),4559.0)</f>
        <v/>
      </c>
      <c r="E99" s="12">
        <f>IFERROR(__xludf.DUMMYFUNCTION("GOOGLEFINANCE(""NSE:""&amp;$A99,""high"")"),4571.9)</f>
        <v/>
      </c>
      <c r="F99" s="12">
        <f>IFERROR(__xludf.DUMMYFUNCTION("GOOGLEFINANCE(""NSE:""&amp;$A99,""low"")"),4512.0)</f>
        <v/>
      </c>
      <c r="G99" s="12">
        <f>IFERROR(__xludf.DUMMYFUNCTION("IFERROR(INDEX(GOOGLEFINANCE(""NSE:""&amp;$A99,""close"",TODAY()),2,2),C99)"),4540.0)</f>
        <v/>
      </c>
      <c r="H99" s="12">
        <f>IFERROR(__xludf.DUMMYFUNCTION("GOOGLEFINANCE(""NSE:""&amp;$A99,""closeyest"")"),4555.0)</f>
        <v/>
      </c>
      <c r="I99" s="12">
        <f>IFERROR(C99-H99,"")</f>
        <v/>
      </c>
      <c r="J99" s="13">
        <f>IFERROR((C99-H99)/H99,"")</f>
        <v/>
      </c>
      <c r="K99" s="17">
        <f>IFERROR(__xludf.DUMMYFUNCTION("IFERROR(GOOGLEFINANCE(""NSE:""&amp;$A99,""marketcap""),"""")"),6.09906825E11)</f>
        <v/>
      </c>
      <c r="L99" s="15">
        <f>IFERROR(K99/SUMIF($B$2:$B$214,B99,$K$2:$K$214),"")</f>
        <v/>
      </c>
      <c r="M99" s="16">
        <f>IFERROR(K99/SUM($K$2:$K$214),"")</f>
        <v/>
      </c>
      <c r="N99" t="n">
        <v>2</v>
      </c>
      <c r="O99" t="n">
        <v>0</v>
      </c>
      <c r="P99" s="19" t="n">
        <v>76.03</v>
      </c>
      <c r="R99" s="19" t="n">
        <v>64.45</v>
      </c>
      <c r="S99" t="inlineStr">
        <is>
          <t>NEUTRAL</t>
        </is>
      </c>
      <c r="T99" s="19" t="n">
        <v>47.67</v>
      </c>
      <c r="V99" t="n">
        <v>49.83</v>
      </c>
    </row>
    <row r="100" ht="15.75" customHeight="1" s="23">
      <c r="A100" s="10" t="inlineStr">
        <is>
          <t>TATACONSUM</t>
        </is>
      </c>
      <c r="B100" s="11" t="inlineStr">
        <is>
          <t>FMCG</t>
        </is>
      </c>
      <c r="C100" s="12">
        <f>IFERROR(__xludf.DUMMYFUNCTION("GOOGLEFINANCE(""NSE:""&amp;$A100,""price"")"),960.0)</f>
        <v/>
      </c>
      <c r="D100" s="12">
        <f>IFERROR(__xludf.DUMMYFUNCTION("GOOGLEFINANCE(""NSE:""&amp;$A100,""priceopen"")"),965.0)</f>
        <v/>
      </c>
      <c r="E100" s="12">
        <f>IFERROR(__xludf.DUMMYFUNCTION("GOOGLEFINANCE(""NSE:""&amp;$A100,""high"")"),975.3)</f>
        <v/>
      </c>
      <c r="F100" s="12">
        <f>IFERROR(__xludf.DUMMYFUNCTION("GOOGLEFINANCE(""NSE:""&amp;$A100,""low"")"),958.2)</f>
        <v/>
      </c>
      <c r="G100" s="12">
        <f>IFERROR(__xludf.DUMMYFUNCTION("IFERROR(INDEX(GOOGLEFINANCE(""NSE:""&amp;$A100,""close"",TODAY()),2,2),C100)"),960.0)</f>
        <v/>
      </c>
      <c r="H100" s="12">
        <f>IFERROR(__xludf.DUMMYFUNCTION("GOOGLEFINANCE(""NSE:""&amp;$A100,""closeyest"")"),958.8)</f>
        <v/>
      </c>
      <c r="I100" s="12">
        <f>IFERROR(C100-H100,"")</f>
        <v/>
      </c>
      <c r="J100" s="13">
        <f>IFERROR((C100-H100)/H100,"")</f>
        <v/>
      </c>
      <c r="K100" s="17">
        <f>IFERROR(__xludf.DUMMYFUNCTION("IFERROR(GOOGLEFINANCE(""NSE:""&amp;$A100,""marketcap""),"""")"),9.494523357E11)</f>
        <v/>
      </c>
      <c r="L100" s="15">
        <f>IFERROR(K100/SUMIF($B$2:$B$214,B100,$K$2:$K$214),"")</f>
        <v/>
      </c>
      <c r="M100" s="16">
        <f>IFERROR(K100/SUM($K$2:$K$214),"")</f>
        <v/>
      </c>
      <c r="N100" t="n">
        <v>0</v>
      </c>
      <c r="O100" t="n">
        <v>2</v>
      </c>
      <c r="P100" s="19" t="n">
        <v>45.55</v>
      </c>
      <c r="R100" s="19" t="n">
        <v>18.97</v>
      </c>
      <c r="S100" t="inlineStr">
        <is>
          <t>NEUTRAL</t>
        </is>
      </c>
      <c r="T100" s="19" t="n">
        <v>47.91</v>
      </c>
      <c r="V100" t="n">
        <v>71.45999999999999</v>
      </c>
    </row>
    <row r="101" ht="15.75" customHeight="1" s="23">
      <c r="A101" s="10" t="inlineStr">
        <is>
          <t>UNITDSPR</t>
        </is>
      </c>
      <c r="B101" s="11" t="inlineStr">
        <is>
          <t>FMCG</t>
        </is>
      </c>
      <c r="C101" s="12">
        <f>IFERROR(__xludf.DUMMYFUNCTION("GOOGLEFINANCE(""NSE:""&amp;$A101,""price"")"),1371.1)</f>
        <v/>
      </c>
      <c r="D101" s="12">
        <f>IFERROR(__xludf.DUMMYFUNCTION("GOOGLEFINANCE(""NSE:""&amp;$A101,""priceopen"")"),1354.0)</f>
        <v/>
      </c>
      <c r="E101" s="12">
        <f>IFERROR(__xludf.DUMMYFUNCTION("GOOGLEFINANCE(""NSE:""&amp;$A101,""high"")"),1372.2)</f>
        <v/>
      </c>
      <c r="F101" s="12">
        <f>IFERROR(__xludf.DUMMYFUNCTION("GOOGLEFINANCE(""NSE:""&amp;$A101,""low"")"),1343.9)</f>
        <v/>
      </c>
      <c r="G101" s="12">
        <f>IFERROR(__xludf.DUMMYFUNCTION("IFERROR(INDEX(GOOGLEFINANCE(""NSE:""&amp;$A101,""close"",TODAY()),2,2),C101)"),1371.1)</f>
        <v/>
      </c>
      <c r="H101" s="12">
        <f>IFERROR(__xludf.DUMMYFUNCTION("GOOGLEFINANCE(""NSE:""&amp;$A101,""closeyest"")"),1349.7)</f>
        <v/>
      </c>
      <c r="I101" s="12">
        <f>IFERROR(C101-H101,"")</f>
        <v/>
      </c>
      <c r="J101" s="13">
        <f>IFERROR((C101-H101)/H101,"")</f>
        <v/>
      </c>
      <c r="K101" s="17">
        <f>IFERROR(__xludf.DUMMYFUNCTION("IFERROR(GOOGLEFINANCE(""NSE:""&amp;$A101,""marketcap""),"""")"),9.93979948725E11)</f>
        <v/>
      </c>
      <c r="L101" s="15">
        <f>IFERROR(K101/SUMIF($B$2:$B$214,B101,$K$2:$K$214),"")</f>
        <v/>
      </c>
      <c r="M101" s="16">
        <f>IFERROR(K101/SUM($K$2:$K$214),"")</f>
        <v/>
      </c>
      <c r="N101" t="n">
        <v>0</v>
      </c>
      <c r="O101" t="n">
        <v>1</v>
      </c>
      <c r="P101" s="19" t="n">
        <v>54.3</v>
      </c>
      <c r="R101" s="19" t="n">
        <v>49.64</v>
      </c>
      <c r="S101" t="inlineStr">
        <is>
          <t>NEUTRAL</t>
        </is>
      </c>
      <c r="T101" s="19" t="n">
        <v>39.67</v>
      </c>
      <c r="V101" t="n">
        <v>73.02</v>
      </c>
    </row>
    <row r="102" ht="15.75" customHeight="1" s="23">
      <c r="A102" s="10" t="inlineStr">
        <is>
          <t>VBL</t>
        </is>
      </c>
      <c r="B102" s="11" t="inlineStr">
        <is>
          <t>FMCG</t>
        </is>
      </c>
      <c r="C102" s="12">
        <f>IFERROR(__xludf.DUMMYFUNCTION("GOOGLEFINANCE(""NSE:""&amp;$A102,""price"")"),442.0)</f>
        <v/>
      </c>
      <c r="D102" s="12">
        <f>IFERROR(__xludf.DUMMYFUNCTION("GOOGLEFINANCE(""NSE:""&amp;$A102,""priceopen"")"),435.0)</f>
        <v/>
      </c>
      <c r="E102" s="12">
        <f>IFERROR(__xludf.DUMMYFUNCTION("GOOGLEFINANCE(""NSE:""&amp;$A102,""high"")"),443.7)</f>
        <v/>
      </c>
      <c r="F102" s="12">
        <f>IFERROR(__xludf.DUMMYFUNCTION("GOOGLEFINANCE(""NSE:""&amp;$A102,""low"")"),434.0)</f>
        <v/>
      </c>
      <c r="G102" s="12">
        <f>IFERROR(__xludf.DUMMYFUNCTION("IFERROR(INDEX(GOOGLEFINANCE(""NSE:""&amp;$A102,""close"",TODAY()),2,2),C102)"),442.0)</f>
        <v/>
      </c>
      <c r="H102" s="12">
        <f>IFERROR(__xludf.DUMMYFUNCTION("GOOGLEFINANCE(""NSE:""&amp;$A102,""closeyest"")"),433.3)</f>
        <v/>
      </c>
      <c r="I102" s="12">
        <f>IFERROR(C102-H102,"")</f>
        <v/>
      </c>
      <c r="J102" s="13">
        <f>IFERROR((C102-H102)/H102,"")</f>
        <v/>
      </c>
      <c r="K102" s="17">
        <f>IFERROR(__xludf.DUMMYFUNCTION("IFERROR(GOOGLEFINANCE(""NSE:""&amp;$A102,""marketcap""),"""")"),1.494388633499E12)</f>
        <v/>
      </c>
      <c r="L102" s="15">
        <f>IFERROR(K102/SUMIF($B$2:$B$214,B102,$K$2:$K$214),"")</f>
        <v/>
      </c>
      <c r="M102" s="16">
        <f>IFERROR(K102/SUM($K$2:$K$214),"")</f>
        <v/>
      </c>
      <c r="N102" t="n">
        <v>0</v>
      </c>
      <c r="O102" t="n">
        <v>2</v>
      </c>
      <c r="P102" s="19" t="n">
        <v>45.78</v>
      </c>
      <c r="R102" s="19" t="n">
        <v>35.92</v>
      </c>
      <c r="S102" t="inlineStr">
        <is>
          <t>NEUTRAL</t>
        </is>
      </c>
      <c r="T102" s="19" t="n">
        <v>54.46</v>
      </c>
      <c r="V102" t="n">
        <v>74.54000000000001</v>
      </c>
    </row>
    <row r="103" ht="15.75" customHeight="1" s="23">
      <c r="A103" s="10" t="inlineStr">
        <is>
          <t>ADANIENT</t>
        </is>
      </c>
      <c r="B103" s="11" t="inlineStr">
        <is>
          <t>Infrastructure &amp; Logistics</t>
        </is>
      </c>
      <c r="C103" s="12">
        <f>IFERROR(__xludf.DUMMYFUNCTION("GOOGLEFINANCE(""NSE:""&amp;$A103,""price"")"),2695.0)</f>
        <v/>
      </c>
      <c r="D103" s="12">
        <f>IFERROR(__xludf.DUMMYFUNCTION("GOOGLEFINANCE(""NSE:""&amp;$A103,""priceopen"")"),2638.0)</f>
        <v/>
      </c>
      <c r="E103" s="12">
        <f>IFERROR(__xludf.DUMMYFUNCTION("GOOGLEFINANCE(""NSE:""&amp;$A103,""high"")"),2695.0)</f>
        <v/>
      </c>
      <c r="F103" s="12">
        <f>IFERROR(__xludf.DUMMYFUNCTION("GOOGLEFINANCE(""NSE:""&amp;$A103,""low"")"),2610.0)</f>
        <v/>
      </c>
      <c r="G103" s="12">
        <f>IFERROR(__xludf.DUMMYFUNCTION("IFERROR(INDEX(GOOGLEFINANCE(""NSE:""&amp;$A103,""close"",TODAY()),2,2),C103)"),2695.0)</f>
        <v/>
      </c>
      <c r="H103" s="12">
        <f>IFERROR(__xludf.DUMMYFUNCTION("GOOGLEFINANCE(""NSE:""&amp;$A103,""closeyest"")"),2630.0)</f>
        <v/>
      </c>
      <c r="I103" s="12">
        <f>IFERROR(C103-H103,"")</f>
        <v/>
      </c>
      <c r="J103" s="13">
        <f>IFERROR((C103-H103)/H103,"")</f>
        <v/>
      </c>
      <c r="K103" s="17">
        <f>IFERROR(__xludf.DUMMYFUNCTION("IFERROR(GOOGLEFINANCE(""NSE:""&amp;$A103,""marketcap""),"""")"),3.109732692E12)</f>
        <v/>
      </c>
      <c r="L103" s="15">
        <f>IFERROR(K103/SUMIF($B$2:$B$214,B103,$K$2:$K$214),"")</f>
        <v/>
      </c>
      <c r="M103" s="16">
        <f>IFERROR(K103/SUM($K$2:$K$214),"")</f>
        <v/>
      </c>
      <c r="N103" t="n">
        <v>0</v>
      </c>
      <c r="O103" t="n">
        <v>2</v>
      </c>
      <c r="P103" s="19" t="n">
        <v>58.06</v>
      </c>
      <c r="R103" s="19" t="n">
        <v>32.7</v>
      </c>
      <c r="S103" t="inlineStr">
        <is>
          <t>NEUTRAL</t>
        </is>
      </c>
      <c r="T103" s="19" t="n">
        <v>35.66</v>
      </c>
      <c r="V103" t="n">
        <v>84.40000000000001</v>
      </c>
    </row>
    <row r="104" ht="15.75" customHeight="1" s="23">
      <c r="A104" s="10" t="inlineStr">
        <is>
          <t>ADANIPORTS</t>
        </is>
      </c>
      <c r="B104" s="11" t="inlineStr">
        <is>
          <t>Infrastructure &amp; Logistics</t>
        </is>
      </c>
      <c r="C104" s="12">
        <f>IFERROR(__xludf.DUMMYFUNCTION("GOOGLEFINANCE(""NSE:""&amp;$A104,""price"")"),1763.0)</f>
        <v/>
      </c>
      <c r="D104" s="12">
        <f>IFERROR(__xludf.DUMMYFUNCTION("GOOGLEFINANCE(""NSE:""&amp;$A104,""priceopen"")"),1754.0)</f>
        <v/>
      </c>
      <c r="E104" s="12">
        <f>IFERROR(__xludf.DUMMYFUNCTION("GOOGLEFINANCE(""NSE:""&amp;$A104,""high"")"),1776.3)</f>
        <v/>
      </c>
      <c r="F104" s="12">
        <f>IFERROR(__xludf.DUMMYFUNCTION("GOOGLEFINANCE(""NSE:""&amp;$A104,""low"")"),1738.3)</f>
        <v/>
      </c>
      <c r="G104" s="12">
        <f>IFERROR(__xludf.DUMMYFUNCTION("IFERROR(INDEX(GOOGLEFINANCE(""NSE:""&amp;$A104,""close"",TODAY()),2,2),C104)"),1763.0)</f>
        <v/>
      </c>
      <c r="H104" s="12">
        <f>IFERROR(__xludf.DUMMYFUNCTION("GOOGLEFINANCE(""NSE:""&amp;$A104,""closeyest"")"),1754.0)</f>
        <v/>
      </c>
      <c r="I104" s="12">
        <f>IFERROR(C104-H104,"")</f>
        <v/>
      </c>
      <c r="J104" s="13">
        <f>IFERROR((C104-H104)/H104,"")</f>
        <v/>
      </c>
      <c r="K104" s="17">
        <f>IFERROR(__xludf.DUMMYFUNCTION("IFERROR(GOOGLEFINANCE(""NSE:""&amp;$A104,""marketcap""),"""")"),3.80788463E12)</f>
        <v/>
      </c>
      <c r="L104" s="15">
        <f>IFERROR(K104/SUMIF($B$2:$B$214,B104,$K$2:$K$214),"")</f>
        <v/>
      </c>
      <c r="M104" s="16">
        <f>IFERROR(K104/SUM($K$2:$K$214),"")</f>
        <v/>
      </c>
      <c r="N104" t="n">
        <v>0</v>
      </c>
      <c r="O104" t="n">
        <v>3</v>
      </c>
      <c r="P104" s="19" t="n">
        <v>63.94</v>
      </c>
      <c r="R104" s="19" t="n">
        <v>40.22</v>
      </c>
      <c r="S104" t="inlineStr">
        <is>
          <t>NEUTRAL</t>
        </is>
      </c>
      <c r="T104" s="19" t="n">
        <v>43.28</v>
      </c>
      <c r="V104" t="n">
        <v>40.72</v>
      </c>
    </row>
    <row r="105" ht="15.75" customHeight="1" s="23">
      <c r="A105" s="10" t="inlineStr">
        <is>
          <t>CONCOR</t>
        </is>
      </c>
      <c r="B105" s="11" t="inlineStr">
        <is>
          <t>Infrastructure &amp; Logistics</t>
        </is>
      </c>
      <c r="C105" s="12">
        <f>IFERROR(__xludf.DUMMYFUNCTION("GOOGLEFINANCE(""NSE:""&amp;$A105,""price"")"),449.75)</f>
        <v/>
      </c>
      <c r="D105" s="12">
        <f>IFERROR(__xludf.DUMMYFUNCTION("GOOGLEFINANCE(""NSE:""&amp;$A105,""priceopen"")"),441.0)</f>
        <v/>
      </c>
      <c r="E105" s="12">
        <f>IFERROR(__xludf.DUMMYFUNCTION("GOOGLEFINANCE(""NSE:""&amp;$A105,""high"")"),451.2)</f>
        <v/>
      </c>
      <c r="F105" s="12">
        <f>IFERROR(__xludf.DUMMYFUNCTION("GOOGLEFINANCE(""NSE:""&amp;$A105,""low"")"),440.05)</f>
        <v/>
      </c>
      <c r="G105" s="12">
        <f>IFERROR(__xludf.DUMMYFUNCTION("IFERROR(INDEX(GOOGLEFINANCE(""NSE:""&amp;$A105,""close"",TODAY()),2,2),C105)"),449.75)</f>
        <v/>
      </c>
      <c r="H105" s="12">
        <f>IFERROR(__xludf.DUMMYFUNCTION("GOOGLEFINANCE(""NSE:""&amp;$A105,""closeyest"")"),440.75)</f>
        <v/>
      </c>
      <c r="I105" s="12">
        <f>IFERROR(C105-H105,"")</f>
        <v/>
      </c>
      <c r="J105" s="13">
        <f>IFERROR((C105-H105)/H105,"")</f>
        <v/>
      </c>
      <c r="K105" s="17">
        <f>IFERROR(__xludf.DUMMYFUNCTION("IFERROR(GOOGLEFINANCE(""NSE:""&amp;$A105,""marketcap""),"""")"),2.74800337405E11)</f>
        <v/>
      </c>
      <c r="L105" s="15">
        <f>IFERROR(K105/SUMIF($B$2:$B$214,B105,$K$2:$K$214),"")</f>
        <v/>
      </c>
      <c r="M105" s="16">
        <f>IFERROR(K105/SUM($K$2:$K$214),"")</f>
        <v/>
      </c>
      <c r="N105" t="n">
        <v>0</v>
      </c>
      <c r="O105" t="n">
        <v>1</v>
      </c>
      <c r="P105" s="19" t="n">
        <v>41.81</v>
      </c>
      <c r="R105" s="19" t="n">
        <v>47.14</v>
      </c>
      <c r="S105" t="inlineStr">
        <is>
          <t>NEUTRAL</t>
        </is>
      </c>
      <c r="T105" s="19" t="n">
        <v>38.59</v>
      </c>
      <c r="V105" t="n">
        <v>64.58</v>
      </c>
    </row>
    <row r="106" ht="15.75" customHeight="1" s="23">
      <c r="A106" s="10" t="inlineStr">
        <is>
          <t>DELHIVERY</t>
        </is>
      </c>
      <c r="B106" s="11" t="inlineStr">
        <is>
          <t>Infrastructure &amp; Logistics</t>
        </is>
      </c>
      <c r="C106" s="12">
        <f>IFERROR(__xludf.DUMMYFUNCTION("GOOGLEFINANCE(""NSE:""&amp;$A106,""price"")"),416.4)</f>
        <v/>
      </c>
      <c r="D106" s="12">
        <f>IFERROR(__xludf.DUMMYFUNCTION("GOOGLEFINANCE(""NSE:""&amp;$A106,""priceopen"")"),411.7)</f>
        <v/>
      </c>
      <c r="E106" s="12">
        <f>IFERROR(__xludf.DUMMYFUNCTION("GOOGLEFINANCE(""NSE:""&amp;$A106,""high"")"),416.4)</f>
        <v/>
      </c>
      <c r="F106" s="12">
        <f>IFERROR(__xludf.DUMMYFUNCTION("GOOGLEFINANCE(""NSE:""&amp;$A106,""low"")"),405.6)</f>
        <v/>
      </c>
      <c r="G106" s="12">
        <f>IFERROR(__xludf.DUMMYFUNCTION("IFERROR(INDEX(GOOGLEFINANCE(""NSE:""&amp;$A106,""close"",TODAY()),2,2),C106)"),416.4)</f>
        <v/>
      </c>
      <c r="H106" s="12">
        <f>IFERROR(__xludf.DUMMYFUNCTION("GOOGLEFINANCE(""NSE:""&amp;$A106,""closeyest"")"),412.15)</f>
        <v/>
      </c>
      <c r="I106" s="12">
        <f>IFERROR(C106-H106,"")</f>
        <v/>
      </c>
      <c r="J106" s="13">
        <f>IFERROR((C106-H106)/H106,"")</f>
        <v/>
      </c>
      <c r="K106" s="17">
        <f>IFERROR(__xludf.DUMMYFUNCTION("IFERROR(GOOGLEFINANCE(""NSE:""&amp;$A106,""marketcap""),"""")"),3.0893789405E11)</f>
        <v/>
      </c>
      <c r="L106" s="15">
        <f>IFERROR(K106/SUMIF($B$2:$B$214,B106,$K$2:$K$214),"")</f>
        <v/>
      </c>
      <c r="M106" s="16">
        <f>IFERROR(K106/SUM($K$2:$K$214),"")</f>
        <v/>
      </c>
      <c r="N106" t="n">
        <v>2</v>
      </c>
      <c r="O106" t="n">
        <v>2</v>
      </c>
      <c r="P106" s="19" t="n">
        <v>40.49</v>
      </c>
      <c r="R106" s="19" t="n">
        <v>23.18</v>
      </c>
      <c r="S106" t="inlineStr">
        <is>
          <t>NEUTRAL</t>
        </is>
      </c>
      <c r="T106" s="19" t="n">
        <v>37</v>
      </c>
      <c r="V106" t="n">
        <v>44.27</v>
      </c>
    </row>
    <row r="107" ht="15.75" customHeight="1" s="23">
      <c r="A107" s="10" t="inlineStr">
        <is>
          <t>GMRAIRPORT</t>
        </is>
      </c>
      <c r="B107" s="11" t="inlineStr">
        <is>
          <t>Infrastructure &amp; Logistics</t>
        </is>
      </c>
      <c r="C107" s="12">
        <f>IFERROR(__xludf.DUMMYFUNCTION("GOOGLEFINANCE(""NSE:""&amp;$A107,""price"")"),90.34)</f>
        <v/>
      </c>
      <c r="D107" s="12">
        <f>IFERROR(__xludf.DUMMYFUNCTION("GOOGLEFINANCE(""NSE:""&amp;$A107,""priceopen"")"),89.5)</f>
        <v/>
      </c>
      <c r="E107" s="12">
        <f>IFERROR(__xludf.DUMMYFUNCTION("GOOGLEFINANCE(""NSE:""&amp;$A107,""high"")"),90.45)</f>
        <v/>
      </c>
      <c r="F107" s="12">
        <f>IFERROR(__xludf.DUMMYFUNCTION("GOOGLEFINANCE(""NSE:""&amp;$A107,""low"")"),88.51)</f>
        <v/>
      </c>
      <c r="G107" s="12">
        <f>IFERROR(__xludf.DUMMYFUNCTION("IFERROR(INDEX(GOOGLEFINANCE(""NSE:""&amp;$A107,""close"",TODAY()),2,2),C107)"),90.34)</f>
        <v/>
      </c>
      <c r="H107" s="12">
        <f>IFERROR(__xludf.DUMMYFUNCTION("GOOGLEFINANCE(""NSE:""&amp;$A107,""closeyest"")"),89.5)</f>
        <v/>
      </c>
      <c r="I107" s="12">
        <f>IFERROR(C107-H107,"")</f>
        <v/>
      </c>
      <c r="J107" s="13">
        <f>IFERROR((C107-H107)/H107,"")</f>
        <v/>
      </c>
      <c r="K107" s="17">
        <f>IFERROR(__xludf.DUMMYFUNCTION("IFERROR(GOOGLEFINANCE(""NSE:""&amp;$A107,""marketcap""),"""")"),9.51671184506E11)</f>
        <v/>
      </c>
      <c r="L107" s="15">
        <f>IFERROR(K107/SUMIF($B$2:$B$214,B107,$K$2:$K$214),"")</f>
        <v/>
      </c>
      <c r="M107" s="16">
        <f>IFERROR(K107/SUM($K$2:$K$214),"")</f>
        <v/>
      </c>
      <c r="N107" t="n">
        <v>0</v>
      </c>
      <c r="O107" t="n">
        <v>3</v>
      </c>
      <c r="P107" s="19" t="n">
        <v>51.86</v>
      </c>
      <c r="R107" s="19" t="n">
        <v>12.69</v>
      </c>
      <c r="S107" t="inlineStr">
        <is>
          <t>NEUTRAL</t>
        </is>
      </c>
      <c r="T107" s="19" t="n">
        <v>31.59</v>
      </c>
      <c r="V107" t="n">
        <v>59.52</v>
      </c>
    </row>
    <row r="108" ht="15.75" customHeight="1" s="23">
      <c r="A108" s="10" t="inlineStr">
        <is>
          <t>NBCC</t>
        </is>
      </c>
      <c r="B108" s="11" t="inlineStr">
        <is>
          <t>Infrastructure &amp; Logistics</t>
        </is>
      </c>
      <c r="C108" s="12">
        <f>IFERROR(__xludf.DUMMYFUNCTION("GOOGLEFINANCE(""NSE:""&amp;$A108,""price"")"),77.2)</f>
        <v/>
      </c>
      <c r="D108" s="12">
        <f>IFERROR(__xludf.DUMMYFUNCTION("GOOGLEFINANCE(""NSE:""&amp;$A108,""priceopen"")"),75.75)</f>
        <v/>
      </c>
      <c r="E108" s="12">
        <f>IFERROR(__xludf.DUMMYFUNCTION("GOOGLEFINANCE(""NSE:""&amp;$A108,""high"")"),77.2)</f>
        <v/>
      </c>
      <c r="F108" s="12">
        <f>IFERROR(__xludf.DUMMYFUNCTION("GOOGLEFINANCE(""NSE:""&amp;$A108,""low"")"),75.18)</f>
        <v/>
      </c>
      <c r="G108" s="12">
        <f>IFERROR(__xludf.DUMMYFUNCTION("IFERROR(INDEX(GOOGLEFINANCE(""NSE:""&amp;$A108,""close"",TODAY()),2,2),C108)"),77.2)</f>
        <v/>
      </c>
      <c r="H108" s="12">
        <f>IFERROR(__xludf.DUMMYFUNCTION("GOOGLEFINANCE(""NSE:""&amp;$A108,""closeyest"")"),75.92)</f>
        <v/>
      </c>
      <c r="I108" s="12">
        <f>IFERROR(C108-H108,"")</f>
        <v/>
      </c>
      <c r="J108" s="13">
        <f>IFERROR((C108-H108)/H108,"")</f>
        <v/>
      </c>
      <c r="K108" s="17">
        <f>IFERROR(__xludf.DUMMYFUNCTION("IFERROR(GOOGLEFINANCE(""NSE:""&amp;$A108,""marketcap""),"""")"),2.0843999176E11)</f>
        <v/>
      </c>
      <c r="L108" s="15">
        <f>IFERROR(K108/SUMIF($B$2:$B$214,B108,$K$2:$K$214),"")</f>
        <v/>
      </c>
      <c r="M108" s="16">
        <f>IFERROR(K108/SUM($K$2:$K$214),"")</f>
        <v/>
      </c>
      <c r="N108" t="n">
        <v>2</v>
      </c>
      <c r="O108" t="n">
        <v>3</v>
      </c>
      <c r="P108" s="19" t="n">
        <v>41.47</v>
      </c>
      <c r="R108" s="19" t="n">
        <v>12.11</v>
      </c>
      <c r="S108" t="inlineStr">
        <is>
          <t>NEUTRAL</t>
        </is>
      </c>
      <c r="T108" s="19" t="n">
        <v>28.27</v>
      </c>
      <c r="V108" t="n">
        <v>52.99</v>
      </c>
    </row>
    <row r="109" ht="15.75" customHeight="1" s="23">
      <c r="A109" s="10" t="inlineStr">
        <is>
          <t>RVNL</t>
        </is>
      </c>
      <c r="B109" s="11" t="inlineStr">
        <is>
          <t>Infrastructure &amp; Logistics</t>
        </is>
      </c>
      <c r="C109" s="12">
        <f>IFERROR(__xludf.DUMMYFUNCTION("GOOGLEFINANCE(""NSE:""&amp;$A109,""price"")"),197.3)</f>
        <v/>
      </c>
      <c r="D109" s="12">
        <f>IFERROR(__xludf.DUMMYFUNCTION("GOOGLEFINANCE(""NSE:""&amp;$A109,""priceopen"")"),193.24)</f>
        <v/>
      </c>
      <c r="E109" s="12">
        <f>IFERROR(__xludf.DUMMYFUNCTION("GOOGLEFINANCE(""NSE:""&amp;$A109,""high"")"),197.5)</f>
        <v/>
      </c>
      <c r="F109" s="12">
        <f>IFERROR(__xludf.DUMMYFUNCTION("GOOGLEFINANCE(""NSE:""&amp;$A109,""low"")"),191.74)</f>
        <v/>
      </c>
      <c r="G109" s="12">
        <f>IFERROR(__xludf.DUMMYFUNCTION("IFERROR(INDEX(GOOGLEFINANCE(""NSE:""&amp;$A109,""close"",TODAY()),2,2),C109)"),197.3)</f>
        <v/>
      </c>
      <c r="H109" s="12">
        <f>IFERROR(__xludf.DUMMYFUNCTION("GOOGLEFINANCE(""NSE:""&amp;$A109,""closeyest"")"),192.74)</f>
        <v/>
      </c>
      <c r="I109" s="12">
        <f>IFERROR(C109-H109,"")</f>
        <v/>
      </c>
      <c r="J109" s="13">
        <f>IFERROR((C109-H109)/H109,"")</f>
        <v/>
      </c>
      <c r="K109" s="17">
        <f>IFERROR(__xludf.DUMMYFUNCTION("IFERROR(GOOGLEFINANCE(""NSE:""&amp;$A109,""marketcap""),"""")"),4.11884050283E11)</f>
        <v/>
      </c>
      <c r="L109" s="15">
        <f>IFERROR(K109/SUMIF($B$2:$B$214,B109,$K$2:$K$214),"")</f>
        <v/>
      </c>
      <c r="M109" s="16">
        <f>IFERROR(K109/SUM($K$2:$K$214),"")</f>
        <v/>
      </c>
      <c r="N109" t="n">
        <v>2</v>
      </c>
      <c r="O109" t="n">
        <v>3</v>
      </c>
      <c r="P109" s="19" t="n">
        <v>34.67</v>
      </c>
      <c r="R109" s="19" t="n">
        <v>29.11</v>
      </c>
      <c r="S109" t="inlineStr">
        <is>
          <t>NEUTRAL</t>
        </is>
      </c>
      <c r="T109" s="19" t="n">
        <v>34.64</v>
      </c>
      <c r="V109" t="n">
        <v>68.25</v>
      </c>
    </row>
    <row r="110" ht="15.75" customHeight="1" s="23">
      <c r="A110" s="10" t="inlineStr">
        <is>
          <t>HDFCLIFE</t>
        </is>
      </c>
      <c r="B110" s="11" t="inlineStr">
        <is>
          <t>Insurance</t>
        </is>
      </c>
      <c r="C110" s="12">
        <f>IFERROR(__xludf.DUMMYFUNCTION("GOOGLEFINANCE(""NSE:""&amp;$A110,""price"")"),560.0)</f>
        <v/>
      </c>
      <c r="D110" s="12">
        <f>IFERROR(__xludf.DUMMYFUNCTION("GOOGLEFINANCE(""NSE:""&amp;$A110,""priceopen"")"),561.55)</f>
        <v/>
      </c>
      <c r="E110" s="12">
        <f>IFERROR(__xludf.DUMMYFUNCTION("GOOGLEFINANCE(""NSE:""&amp;$A110,""high"")"),565.85)</f>
        <v/>
      </c>
      <c r="F110" s="12">
        <f>IFERROR(__xludf.DUMMYFUNCTION("GOOGLEFINANCE(""NSE:""&amp;$A110,""low"")"),553.6)</f>
        <v/>
      </c>
      <c r="G110" s="12">
        <f>IFERROR(__xludf.DUMMYFUNCTION("IFERROR(INDEX(GOOGLEFINANCE(""NSE:""&amp;$A110,""close"",TODAY()),2,2),C110)"),560.0)</f>
        <v/>
      </c>
      <c r="H110" s="12">
        <f>IFERROR(__xludf.DUMMYFUNCTION("GOOGLEFINANCE(""NSE:""&amp;$A110,""closeyest"")"),559.25)</f>
        <v/>
      </c>
      <c r="I110" s="12">
        <f>IFERROR(C110-H110,"")</f>
        <v/>
      </c>
      <c r="J110" s="13">
        <f>IFERROR((C110-H110)/H110,"")</f>
        <v/>
      </c>
      <c r="K110" s="17">
        <f>IFERROR(__xludf.DUMMYFUNCTION("IFERROR(GOOGLEFINANCE(""NSE:""&amp;$A110,""marketcap""),"""")"),1.20332985377E12)</f>
        <v/>
      </c>
      <c r="L110" s="15">
        <f>IFERROR(K110/SUMIF($B$2:$B$214,B110,$K$2:$K$214),"")</f>
        <v/>
      </c>
      <c r="M110" s="16">
        <f>IFERROR(K110/SUM($K$2:$K$214),"")</f>
        <v/>
      </c>
      <c r="N110" t="n">
        <v>0</v>
      </c>
      <c r="O110" t="n">
        <v>1</v>
      </c>
      <c r="P110" s="19" t="n">
        <v>17.95</v>
      </c>
      <c r="R110" s="19" t="n">
        <v>42.36</v>
      </c>
      <c r="S110" t="inlineStr">
        <is>
          <t>NEUTRAL</t>
        </is>
      </c>
      <c r="T110" s="19" t="n">
        <v>42.34</v>
      </c>
      <c r="V110" t="n">
        <v>31.69</v>
      </c>
    </row>
    <row r="111" ht="15.75" customHeight="1" s="23">
      <c r="A111" s="10" t="inlineStr">
        <is>
          <t>ICICIGI</t>
        </is>
      </c>
      <c r="B111" s="11" t="inlineStr">
        <is>
          <t>Insurance</t>
        </is>
      </c>
      <c r="C111" s="12">
        <f>IFERROR(__xludf.DUMMYFUNCTION("GOOGLEFINANCE(""NSE:""&amp;$A111,""price"")"),1691.8)</f>
        <v/>
      </c>
      <c r="D111" s="12">
        <f>IFERROR(__xludf.DUMMYFUNCTION("GOOGLEFINANCE(""NSE:""&amp;$A111,""priceopen"")"),1660.5)</f>
        <v/>
      </c>
      <c r="E111" s="12">
        <f>IFERROR(__xludf.DUMMYFUNCTION("GOOGLEFINANCE(""NSE:""&amp;$A111,""high"")"),1704.0)</f>
        <v/>
      </c>
      <c r="F111" s="12">
        <f>IFERROR(__xludf.DUMMYFUNCTION("GOOGLEFINANCE(""NSE:""&amp;$A111,""low"")"),1659.4)</f>
        <v/>
      </c>
      <c r="G111" s="12">
        <f>IFERROR(__xludf.DUMMYFUNCTION("IFERROR(INDEX(GOOGLEFINANCE(""NSE:""&amp;$A111,""close"",TODAY()),2,2),C111)"),1691.8)</f>
        <v/>
      </c>
      <c r="H111" s="12">
        <f>IFERROR(__xludf.DUMMYFUNCTION("GOOGLEFINANCE(""NSE:""&amp;$A111,""closeyest"")"),1674.0)</f>
        <v/>
      </c>
      <c r="I111" s="12">
        <f>IFERROR(C111-H111,"")</f>
        <v/>
      </c>
      <c r="J111" s="13">
        <f>IFERROR((C111-H111)/H111,"")</f>
        <v/>
      </c>
      <c r="K111" s="17">
        <f>IFERROR(__xludf.DUMMYFUNCTION("IFERROR(GOOGLEFINANCE(""NSE:""&amp;$A111,""marketcap""),"""")"),8.4331849E11)</f>
        <v/>
      </c>
      <c r="L111" s="15">
        <f>IFERROR(K111/SUMIF($B$2:$B$214,B111,$K$2:$K$214),"")</f>
        <v/>
      </c>
      <c r="M111" s="16">
        <f>IFERROR(K111/SUM($K$2:$K$214),"")</f>
        <v/>
      </c>
      <c r="N111" t="n">
        <v>1</v>
      </c>
      <c r="O111" t="n">
        <v>1</v>
      </c>
      <c r="P111" s="19" t="n">
        <v>44.71</v>
      </c>
      <c r="R111" s="19" t="n">
        <v>42.48</v>
      </c>
      <c r="S111" t="inlineStr">
        <is>
          <t>NEUTRAL</t>
        </is>
      </c>
      <c r="T111" s="19" t="n">
        <v>73.98</v>
      </c>
      <c r="V111" t="n">
        <v>66.78</v>
      </c>
    </row>
    <row r="112" ht="15.75" customHeight="1" s="23">
      <c r="A112" s="10" t="inlineStr">
        <is>
          <t>ICICIPRULI</t>
        </is>
      </c>
      <c r="B112" s="11" t="inlineStr">
        <is>
          <t>Insurance</t>
        </is>
      </c>
      <c r="C112" s="12">
        <f>IFERROR(__xludf.DUMMYFUNCTION("GOOGLEFINANCE(""NSE:""&amp;$A112,""price"")"),447.0)</f>
        <v/>
      </c>
      <c r="D112" s="12">
        <f>IFERROR(__xludf.DUMMYFUNCTION("GOOGLEFINANCE(""NSE:""&amp;$A112,""priceopen"")"),462.0)</f>
        <v/>
      </c>
      <c r="E112" s="12">
        <f>IFERROR(__xludf.DUMMYFUNCTION("GOOGLEFINANCE(""NSE:""&amp;$A112,""high"")"),465.2)</f>
        <v/>
      </c>
      <c r="F112" s="12">
        <f>IFERROR(__xludf.DUMMYFUNCTION("GOOGLEFINANCE(""NSE:""&amp;$A112,""low"")"),446.3)</f>
        <v/>
      </c>
      <c r="G112" s="12">
        <f>IFERROR(__xludf.DUMMYFUNCTION("IFERROR(INDEX(GOOGLEFINANCE(""NSE:""&amp;$A112,""close"",TODAY()),2,2),C112)"),447.0)</f>
        <v/>
      </c>
      <c r="H112" s="12">
        <f>IFERROR(__xludf.DUMMYFUNCTION("GOOGLEFINANCE(""NSE:""&amp;$A112,""closeyest"")"),463.4)</f>
        <v/>
      </c>
      <c r="I112" s="12">
        <f>IFERROR(C112-H112,"")</f>
        <v/>
      </c>
      <c r="J112" s="13">
        <f>IFERROR((C112-H112)/H112,"")</f>
        <v/>
      </c>
      <c r="K112" s="17">
        <f>IFERROR(__xludf.DUMMYFUNCTION("IFERROR(GOOGLEFINANCE(""NSE:""&amp;$A112,""marketcap""),"""")"),6.45360495255E11)</f>
        <v/>
      </c>
      <c r="L112" s="15">
        <f>IFERROR(K112/SUMIF($B$2:$B$214,B112,$K$2:$K$214),"")</f>
        <v/>
      </c>
      <c r="M112" s="16">
        <f>IFERROR(K112/SUM($K$2:$K$214),"")</f>
        <v/>
      </c>
      <c r="N112" t="n">
        <v>2</v>
      </c>
      <c r="O112" t="n">
        <v>3</v>
      </c>
      <c r="P112" s="19" t="n">
        <v>31.4</v>
      </c>
      <c r="R112" s="19" t="n">
        <v>33.31</v>
      </c>
      <c r="S112" t="inlineStr">
        <is>
          <t>NEUTRAL</t>
        </is>
      </c>
      <c r="T112" s="19" t="n">
        <v>26.4</v>
      </c>
      <c r="V112" t="n">
        <v>28.35</v>
      </c>
    </row>
    <row r="113" ht="15.75" customHeight="1" s="23">
      <c r="A113" s="10" t="inlineStr">
        <is>
          <t>LICI</t>
        </is>
      </c>
      <c r="B113" s="11" t="inlineStr">
        <is>
          <t>Insurance</t>
        </is>
      </c>
      <c r="C113" s="12">
        <f>IFERROR(__xludf.DUMMYFUNCTION("GOOGLEFINANCE(""NSE:""&amp;$A113,""price"")"),394.05)</f>
        <v/>
      </c>
      <c r="D113" s="12">
        <f>IFERROR(__xludf.DUMMYFUNCTION("GOOGLEFINANCE(""NSE:""&amp;$A113,""priceopen"")"),391.5)</f>
        <v/>
      </c>
      <c r="E113" s="12">
        <f>IFERROR(__xludf.DUMMYFUNCTION("GOOGLEFINANCE(""NSE:""&amp;$A113,""high"")"),397.6)</f>
        <v/>
      </c>
      <c r="F113" s="12">
        <f>IFERROR(__xludf.DUMMYFUNCTION("GOOGLEFINANCE(""NSE:""&amp;$A113,""low"")"),390.1)</f>
        <v/>
      </c>
      <c r="G113" s="12">
        <f>IFERROR(__xludf.DUMMYFUNCTION("IFERROR(INDEX(GOOGLEFINANCE(""NSE:""&amp;$A113,""close"",TODAY()),2,2),C113)"),394.05)</f>
        <v/>
      </c>
      <c r="H113" s="12">
        <f>IFERROR(__xludf.DUMMYFUNCTION("GOOGLEFINANCE(""NSE:""&amp;$A113,""closeyest"")"),391.5)</f>
        <v/>
      </c>
      <c r="I113" s="12">
        <f>IFERROR(C113-H113,"")</f>
        <v/>
      </c>
      <c r="J113" s="13">
        <f>IFERROR((C113-H113)/H113,"")</f>
        <v/>
      </c>
      <c r="K113" s="17">
        <f>IFERROR(__xludf.DUMMYFUNCTION("IFERROR(GOOGLEFINANCE(""NSE:""&amp;$A113,""marketcap""),"""")"),2.495343474E12)</f>
        <v/>
      </c>
      <c r="L113" s="15">
        <f>IFERROR(K113/SUMIF($B$2:$B$214,B113,$K$2:$K$214),"")</f>
        <v/>
      </c>
      <c r="M113" s="16">
        <f>IFERROR(K113/SUM($K$2:$K$214),"")</f>
        <v/>
      </c>
      <c r="N113" t="n">
        <v>0</v>
      </c>
      <c r="O113" t="n">
        <v>2</v>
      </c>
      <c r="P113" s="19" t="n">
        <v>45.5</v>
      </c>
      <c r="R113" s="19" t="n">
        <v>30.7</v>
      </c>
      <c r="S113" t="inlineStr">
        <is>
          <t>NEUTRAL</t>
        </is>
      </c>
      <c r="T113" s="19" t="n">
        <v>40.03</v>
      </c>
      <c r="V113" t="n">
        <v>58.5</v>
      </c>
    </row>
    <row r="114" ht="15.75" customHeight="1" s="23">
      <c r="A114" s="10" t="inlineStr">
        <is>
          <t>MFSL</t>
        </is>
      </c>
      <c r="B114" s="11" t="inlineStr">
        <is>
          <t>Insurance</t>
        </is>
      </c>
      <c r="C114" s="12">
        <f>IFERROR(__xludf.DUMMYFUNCTION("GOOGLEFINANCE(""NSE:""&amp;$A114,""price"")"),1325.4)</f>
        <v/>
      </c>
      <c r="D114" s="12">
        <f>IFERROR(__xludf.DUMMYFUNCTION("GOOGLEFINANCE(""NSE:""&amp;$A114,""priceopen"")"),1300.0)</f>
        <v/>
      </c>
      <c r="E114" s="12">
        <f>IFERROR(__xludf.DUMMYFUNCTION("GOOGLEFINANCE(""NSE:""&amp;$A114,""high"")"),1340.8)</f>
        <v/>
      </c>
      <c r="F114" s="12">
        <f>IFERROR(__xludf.DUMMYFUNCTION("GOOGLEFINANCE(""NSE:""&amp;$A114,""low"")"),1297.7)</f>
        <v/>
      </c>
      <c r="G114" s="12">
        <f>IFERROR(__xludf.DUMMYFUNCTION("IFERROR(INDEX(GOOGLEFINANCE(""NSE:""&amp;$A114,""close"",TODAY()),2,2),C114)"),1325.4)</f>
        <v/>
      </c>
      <c r="H114" s="12">
        <f>IFERROR(__xludf.DUMMYFUNCTION("GOOGLEFINANCE(""NSE:""&amp;$A114,""closeyest"")"),1306.5)</f>
        <v/>
      </c>
      <c r="I114" s="12">
        <f>IFERROR(C114-H114,"")</f>
        <v/>
      </c>
      <c r="J114" s="13">
        <f>IFERROR((C114-H114)/H114,"")</f>
        <v/>
      </c>
      <c r="K114" s="17">
        <f>IFERROR(__xludf.DUMMYFUNCTION("IFERROR(GOOGLEFINANCE(""NSE:""&amp;$A114,""marketcap""),"""")"),4.57415031805E11)</f>
        <v/>
      </c>
      <c r="L114" s="15">
        <f>IFERROR(K114/SUMIF($B$2:$B$214,B114,$K$2:$K$214),"")</f>
        <v/>
      </c>
      <c r="M114" s="16">
        <f>IFERROR(K114/SUM($K$2:$K$214),"")</f>
        <v/>
      </c>
      <c r="N114" t="n">
        <v>0</v>
      </c>
      <c r="O114" t="n">
        <v>3</v>
      </c>
      <c r="P114" s="19" t="n">
        <v>39.69</v>
      </c>
      <c r="R114" s="19" t="n">
        <v>24.64</v>
      </c>
      <c r="S114" t="inlineStr">
        <is>
          <t>NEUTRAL</t>
        </is>
      </c>
      <c r="T114" s="19" t="n">
        <v>20.7</v>
      </c>
      <c r="V114" t="n">
        <v>39.87</v>
      </c>
    </row>
    <row r="115" ht="15.75" customHeight="1" s="23">
      <c r="A115" s="10" t="inlineStr">
        <is>
          <t>SBILIFE</t>
        </is>
      </c>
      <c r="B115" s="11" t="inlineStr">
        <is>
          <t>Insurance</t>
        </is>
      </c>
      <c r="C115" s="12">
        <f>IFERROR(__xludf.DUMMYFUNCTION("GOOGLEFINANCE(""NSE:""&amp;$A115,""price"")"),1687.2)</f>
        <v/>
      </c>
      <c r="D115" s="12">
        <f>IFERROR(__xludf.DUMMYFUNCTION("GOOGLEFINANCE(""NSE:""&amp;$A115,""priceopen"")"),1681.1)</f>
        <v/>
      </c>
      <c r="E115" s="12">
        <f>IFERROR(__xludf.DUMMYFUNCTION("GOOGLEFINANCE(""NSE:""&amp;$A115,""high"")"),1696.6)</f>
        <v/>
      </c>
      <c r="F115" s="12">
        <f>IFERROR(__xludf.DUMMYFUNCTION("GOOGLEFINANCE(""NSE:""&amp;$A115,""low"")"),1666.5)</f>
        <v/>
      </c>
      <c r="G115" s="12">
        <f>IFERROR(__xludf.DUMMYFUNCTION("IFERROR(INDEX(GOOGLEFINANCE(""NSE:""&amp;$A115,""close"",TODAY()),2,2),C115)"),1687.2)</f>
        <v/>
      </c>
      <c r="H115" s="12">
        <f>IFERROR(__xludf.DUMMYFUNCTION("GOOGLEFINANCE(""NSE:""&amp;$A115,""closeyest"")"),1680.8)</f>
        <v/>
      </c>
      <c r="I115" s="12">
        <f>IFERROR(C115-H115,"")</f>
        <v/>
      </c>
      <c r="J115" s="13">
        <f>IFERROR((C115-H115)/H115,"")</f>
        <v/>
      </c>
      <c r="K115" s="17">
        <f>IFERROR(__xludf.DUMMYFUNCTION("IFERROR(GOOGLEFINANCE(""NSE:""&amp;$A115,""marketcap""),"""")"),1.692084114E12)</f>
        <v/>
      </c>
      <c r="L115" s="15">
        <f>IFERROR(K115/SUMIF($B$2:$B$214,B115,$K$2:$K$214),"")</f>
        <v/>
      </c>
      <c r="M115" s="16">
        <f>IFERROR(K115/SUM($K$2:$K$214),"")</f>
        <v/>
      </c>
      <c r="N115" t="n">
        <v>0</v>
      </c>
      <c r="O115" t="n">
        <v>3</v>
      </c>
      <c r="P115" s="19" t="n">
        <v>42.76</v>
      </c>
      <c r="R115" s="19" t="n">
        <v>26.88</v>
      </c>
      <c r="S115" t="inlineStr">
        <is>
          <t>NEUTRAL</t>
        </is>
      </c>
      <c r="T115" s="19" t="n">
        <v>29.79</v>
      </c>
      <c r="V115" t="n">
        <v>35.97</v>
      </c>
    </row>
    <row r="116" ht="15.75" customHeight="1" s="23">
      <c r="A116" s="10" t="inlineStr">
        <is>
          <t>ETERNAL</t>
        </is>
      </c>
      <c r="B116" s="11" t="inlineStr">
        <is>
          <t>Internet &amp; New-age</t>
        </is>
      </c>
      <c r="C116" s="12">
        <f>IFERROR(__xludf.DUMMYFUNCTION("GOOGLEFINANCE(""NSE:""&amp;$A116,""price"")"),320.45)</f>
        <v/>
      </c>
      <c r="D116" s="12">
        <f>IFERROR(__xludf.DUMMYFUNCTION("GOOGLEFINANCE(""NSE:""&amp;$A116,""priceopen"")"),323.0)</f>
        <v/>
      </c>
      <c r="E116" s="12">
        <f>IFERROR(__xludf.DUMMYFUNCTION("GOOGLEFINANCE(""NSE:""&amp;$A116,""high"")"),328.6)</f>
        <v/>
      </c>
      <c r="F116" s="12">
        <f>IFERROR(__xludf.DUMMYFUNCTION("GOOGLEFINANCE(""NSE:""&amp;$A116,""low"")"),318.0)</f>
        <v/>
      </c>
      <c r="G116" s="12">
        <f>IFERROR(__xludf.DUMMYFUNCTION("IFERROR(INDEX(GOOGLEFINANCE(""NSE:""&amp;$A116,""close"",TODAY()),2,2),C116)"),320.45)</f>
        <v/>
      </c>
      <c r="H116" s="12">
        <f>IFERROR(__xludf.DUMMYFUNCTION("GOOGLEFINANCE(""NSE:""&amp;$A116,""closeyest"")"),323.0)</f>
        <v/>
      </c>
      <c r="I116" s="12">
        <f>IFERROR(C116-H116,"")</f>
        <v/>
      </c>
      <c r="J116" s="13">
        <f>IFERROR((C116-H116)/H116,"")</f>
        <v/>
      </c>
      <c r="K116" s="17">
        <f>IFERROR(__xludf.DUMMYFUNCTION("IFERROR(GOOGLEFINANCE(""NSE:""&amp;$A116,""marketcap""),"""")"),2.913289107E12)</f>
        <v/>
      </c>
      <c r="L116" s="15">
        <f>IFERROR(K116/SUMIF($B$2:$B$214,B116,$K$2:$K$214),"")</f>
        <v/>
      </c>
      <c r="M116" s="16">
        <f>IFERROR(K116/SUM($K$2:$K$214),"")</f>
        <v/>
      </c>
      <c r="N116" t="n">
        <v>2</v>
      </c>
      <c r="O116" t="n">
        <v>1</v>
      </c>
      <c r="P116" s="19" t="n">
        <v>50.47</v>
      </c>
      <c r="R116" s="19" t="n">
        <v>61.63</v>
      </c>
      <c r="S116" t="inlineStr">
        <is>
          <t>NEUTRAL</t>
        </is>
      </c>
      <c r="T116" s="19" t="n">
        <v>29.7</v>
      </c>
      <c r="V116" t="n">
        <v>34.38</v>
      </c>
    </row>
    <row r="117" ht="15.75" customHeight="1" s="23">
      <c r="A117" s="10" t="inlineStr">
        <is>
          <t>NAUKRI</t>
        </is>
      </c>
      <c r="B117" s="11" t="inlineStr">
        <is>
          <t>Internet &amp; New-age</t>
        </is>
      </c>
      <c r="C117" s="12">
        <f>IFERROR(__xludf.DUMMYFUNCTION("GOOGLEFINANCE(""NSE:""&amp;$A117,""price"")"),1222.6)</f>
        <v/>
      </c>
      <c r="D117" s="12">
        <f>IFERROR(__xludf.DUMMYFUNCTION("GOOGLEFINANCE(""NSE:""&amp;$A117,""priceopen"")"),1216.3)</f>
        <v/>
      </c>
      <c r="E117" s="12">
        <f>IFERROR(__xludf.DUMMYFUNCTION("GOOGLEFINANCE(""NSE:""&amp;$A117,""high"")"),1239.3)</f>
        <v/>
      </c>
      <c r="F117" s="12">
        <f>IFERROR(__xludf.DUMMYFUNCTION("GOOGLEFINANCE(""NSE:""&amp;$A117,""low"")"),1209.6)</f>
        <v/>
      </c>
      <c r="G117" s="12">
        <f>IFERROR(__xludf.DUMMYFUNCTION("IFERROR(INDEX(GOOGLEFINANCE(""NSE:""&amp;$A117,""close"",TODAY()),2,2),C117)"),1222.6)</f>
        <v/>
      </c>
      <c r="H117" s="12">
        <f>IFERROR(__xludf.DUMMYFUNCTION("GOOGLEFINANCE(""NSE:""&amp;$A117,""closeyest"")"),1203.9)</f>
        <v/>
      </c>
      <c r="I117" s="12">
        <f>IFERROR(C117-H117,"")</f>
        <v/>
      </c>
      <c r="J117" s="13">
        <f>IFERROR((C117-H117)/H117,"")</f>
        <v/>
      </c>
      <c r="K117" s="17">
        <f>IFERROR(__xludf.DUMMYFUNCTION("IFERROR(GOOGLEFINANCE(""NSE:""&amp;$A117,""marketcap""),"""")"),7.88459028564E11)</f>
        <v/>
      </c>
      <c r="L117" s="15">
        <f>IFERROR(K117/SUMIF($B$2:$B$214,B117,$K$2:$K$214),"")</f>
        <v/>
      </c>
      <c r="M117" s="16">
        <f>IFERROR(K117/SUM($K$2:$K$214),"")</f>
        <v/>
      </c>
      <c r="N117" t="n">
        <v>1</v>
      </c>
      <c r="O117" t="n">
        <v>0</v>
      </c>
      <c r="P117" s="19" t="n">
        <v>43.6</v>
      </c>
      <c r="R117" s="19" t="n">
        <v>52.41</v>
      </c>
      <c r="S117" t="inlineStr">
        <is>
          <t>NEUTRAL</t>
        </is>
      </c>
      <c r="T117" s="19" t="n">
        <v>38.35</v>
      </c>
      <c r="V117" t="n">
        <v>62.56</v>
      </c>
    </row>
    <row r="118" ht="15.75" customHeight="1" s="23">
      <c r="A118" s="10" t="inlineStr">
        <is>
          <t>NYKAA</t>
        </is>
      </c>
      <c r="B118" s="11" t="inlineStr">
        <is>
          <t>Internet &amp; New-age</t>
        </is>
      </c>
      <c r="C118" s="12">
        <f>IFERROR(__xludf.DUMMYFUNCTION("GOOGLEFINANCE(""NSE:""&amp;$A118,""price"")"),338.0)</f>
        <v/>
      </c>
      <c r="D118" s="12">
        <f>IFERROR(__xludf.DUMMYFUNCTION("GOOGLEFINANCE(""NSE:""&amp;$A118,""priceopen"")"),337.95)</f>
        <v/>
      </c>
      <c r="E118" s="12">
        <f>IFERROR(__xludf.DUMMYFUNCTION("GOOGLEFINANCE(""NSE:""&amp;$A118,""high"")"),338.9)</f>
        <v/>
      </c>
      <c r="F118" s="12">
        <f>IFERROR(__xludf.DUMMYFUNCTION("GOOGLEFINANCE(""NSE:""&amp;$A118,""low"")"),331.5)</f>
        <v/>
      </c>
      <c r="G118" s="12">
        <f>IFERROR(__xludf.DUMMYFUNCTION("IFERROR(INDEX(GOOGLEFINANCE(""NSE:""&amp;$A118,""close"",TODAY()),2,2),C118)"),338.0)</f>
        <v/>
      </c>
      <c r="H118" s="12">
        <f>IFERROR(__xludf.DUMMYFUNCTION("GOOGLEFINANCE(""NSE:""&amp;$A118,""closeyest"")"),340.0)</f>
        <v/>
      </c>
      <c r="I118" s="12">
        <f>IFERROR(C118-H118,"")</f>
        <v/>
      </c>
      <c r="J118" s="13">
        <f>IFERROR((C118-H118)/H118,"")</f>
        <v/>
      </c>
      <c r="K118" s="17">
        <f>IFERROR(__xludf.DUMMYFUNCTION("IFERROR(GOOGLEFINANCE(""NSE:""&amp;$A118,""marketcap""),"""")"),9.63920089E11)</f>
        <v/>
      </c>
      <c r="L118" s="15">
        <f>IFERROR(K118/SUMIF($B$2:$B$214,B118,$K$2:$K$214),"")</f>
        <v/>
      </c>
      <c r="M118" s="16">
        <f>IFERROR(K118/SUM($K$2:$K$214),"")</f>
        <v/>
      </c>
      <c r="N118" t="n">
        <v>1</v>
      </c>
      <c r="O118" t="n">
        <v>0</v>
      </c>
      <c r="P118" s="19" t="n">
        <v>68.28</v>
      </c>
      <c r="R118" s="19" t="n">
        <v>53.67</v>
      </c>
      <c r="S118" t="inlineStr">
        <is>
          <t>NEUTRAL</t>
        </is>
      </c>
      <c r="T118" s="19" t="n">
        <v>47.09</v>
      </c>
      <c r="V118" t="n">
        <v>41.12</v>
      </c>
    </row>
    <row r="119" ht="15.75" customHeight="1" s="23">
      <c r="A119" s="10" t="inlineStr">
        <is>
          <t>PAYTM</t>
        </is>
      </c>
      <c r="B119" s="11" t="inlineStr">
        <is>
          <t>Internet &amp; New-age</t>
        </is>
      </c>
      <c r="C119" s="12">
        <f>IFERROR(__xludf.DUMMYFUNCTION("GOOGLEFINANCE(""NSE:""&amp;$A119,""price"")"),1715.0)</f>
        <v/>
      </c>
      <c r="D119" s="12">
        <f>IFERROR(__xludf.DUMMYFUNCTION("GOOGLEFINANCE(""NSE:""&amp;$A119,""priceopen"")"),1672.5)</f>
        <v/>
      </c>
      <c r="E119" s="12">
        <f>IFERROR(__xludf.DUMMYFUNCTION("GOOGLEFINANCE(""NSE:""&amp;$A119,""high"")"),1715.0)</f>
        <v/>
      </c>
      <c r="F119" s="12">
        <f>IFERROR(__xludf.DUMMYFUNCTION("GOOGLEFINANCE(""NSE:""&amp;$A119,""low"")"),1571.0)</f>
        <v/>
      </c>
      <c r="G119" s="12">
        <f>IFERROR(__xludf.DUMMYFUNCTION("IFERROR(INDEX(GOOGLEFINANCE(""NSE:""&amp;$A119,""close"",TODAY()),2,2),C119)"),1715.0)</f>
        <v/>
      </c>
      <c r="H119" s="12">
        <f>IFERROR(__xludf.DUMMYFUNCTION("GOOGLEFINANCE(""NSE:""&amp;$A119,""closeyest"")"),1690.0)</f>
        <v/>
      </c>
      <c r="I119" s="12">
        <f>IFERROR(C119-H119,"")</f>
        <v/>
      </c>
      <c r="J119" s="13">
        <f>IFERROR((C119-H119)/H119,"")</f>
        <v/>
      </c>
      <c r="K119" s="17">
        <f>IFERROR(__xludf.DUMMYFUNCTION("IFERROR(GOOGLEFINANCE(""NSE:""&amp;$A119,""marketcap""),"""")"),1.0933926518E12)</f>
        <v/>
      </c>
      <c r="L119" s="15">
        <f>IFERROR(K119/SUMIF($B$2:$B$214,B119,$K$2:$K$214),"")</f>
        <v/>
      </c>
      <c r="M119" s="16">
        <f>IFERROR(K119/SUM($K$2:$K$214),"")</f>
        <v/>
      </c>
      <c r="N119" t="n">
        <v>4</v>
      </c>
      <c r="O119" t="n">
        <v>0</v>
      </c>
      <c r="P119" s="19" t="n">
        <v>67.15000000000001</v>
      </c>
      <c r="R119" s="19" t="n">
        <v>69.97</v>
      </c>
      <c r="S119" t="inlineStr">
        <is>
          <t>BULLISH</t>
        </is>
      </c>
      <c r="T119" s="19" t="n">
        <v>43.3</v>
      </c>
      <c r="V119" t="n">
        <v>54.34</v>
      </c>
    </row>
    <row r="120" ht="15.75" customHeight="1" s="23">
      <c r="A120" s="10" t="inlineStr">
        <is>
          <t>POLICYBZR</t>
        </is>
      </c>
      <c r="B120" s="11" t="inlineStr">
        <is>
          <t>Internet &amp; New-age</t>
        </is>
      </c>
      <c r="C120" s="12">
        <f>IFERROR(__xludf.DUMMYFUNCTION("GOOGLEFINANCE(""NSE:""&amp;$A120,""price"")"),1067.0)</f>
        <v/>
      </c>
      <c r="D120" s="12">
        <f>IFERROR(__xludf.DUMMYFUNCTION("GOOGLEFINANCE(""NSE:""&amp;$A120,""priceopen"")"),1050.0)</f>
        <v/>
      </c>
      <c r="E120" s="12">
        <f>IFERROR(__xludf.DUMMYFUNCTION("GOOGLEFINANCE(""NSE:""&amp;$A120,""high"")"),1086.7)</f>
        <v/>
      </c>
      <c r="F120" s="12">
        <f>IFERROR(__xludf.DUMMYFUNCTION("GOOGLEFINANCE(""NSE:""&amp;$A120,""low"")"),1049.0)</f>
        <v/>
      </c>
      <c r="G120" s="12">
        <f>IFERROR(__xludf.DUMMYFUNCTION("IFERROR(INDEX(GOOGLEFINANCE(""NSE:""&amp;$A120,""close"",TODAY()),2,2),C120)"),1067.0)</f>
        <v/>
      </c>
      <c r="H120" s="12">
        <f>IFERROR(__xludf.DUMMYFUNCTION("GOOGLEFINANCE(""NSE:""&amp;$A120,""closeyest"")"),1047.0)</f>
        <v/>
      </c>
      <c r="I120" s="12">
        <f>IFERROR(C120-H120,"")</f>
        <v/>
      </c>
      <c r="J120" s="13">
        <f>IFERROR((C120-H120)/H120,"")</f>
        <v/>
      </c>
      <c r="K120" s="17">
        <f>IFERROR(__xludf.DUMMYFUNCTION("IFERROR(GOOGLEFINANCE(""NSE:""&amp;$A120,""marketcap""),"""")"),4.8680937E11)</f>
        <v/>
      </c>
      <c r="L120" s="15">
        <f>IFERROR(K120/SUMIF($B$2:$B$214,B120,$K$2:$K$214),"")</f>
        <v/>
      </c>
      <c r="M120" s="16">
        <f>IFERROR(K120/SUM($K$2:$K$214),"")</f>
        <v/>
      </c>
      <c r="N120" t="n">
        <v>0</v>
      </c>
      <c r="O120" t="n">
        <v>7</v>
      </c>
      <c r="P120" s="19" t="n">
        <v>32.7</v>
      </c>
      <c r="R120" s="19" t="n">
        <v>29.64</v>
      </c>
      <c r="S120" t="inlineStr">
        <is>
          <t>STRONG BEARISH</t>
        </is>
      </c>
      <c r="T120" s="19" t="n">
        <v>12.3</v>
      </c>
      <c r="V120" t="n">
        <v>57.31</v>
      </c>
    </row>
    <row r="121" ht="15.75" customHeight="1" s="23">
      <c r="A121" s="10" t="inlineStr">
        <is>
          <t>SWIGGY</t>
        </is>
      </c>
      <c r="B121" s="11" t="inlineStr">
        <is>
          <t>Internet &amp; New-age</t>
        </is>
      </c>
      <c r="C121" s="12">
        <f>IFERROR(__xludf.DUMMYFUNCTION("GOOGLEFINANCE(""NSE:""&amp;$A121,""price"")"),232.4)</f>
        <v/>
      </c>
      <c r="D121" s="12">
        <f>IFERROR(__xludf.DUMMYFUNCTION("GOOGLEFINANCE(""NSE:""&amp;$A121,""priceopen"")"),231.95)</f>
        <v/>
      </c>
      <c r="E121" s="12">
        <f>IFERROR(__xludf.DUMMYFUNCTION("GOOGLEFINANCE(""NSE:""&amp;$A121,""high"")"),235.45)</f>
        <v/>
      </c>
      <c r="F121" s="12">
        <f>IFERROR(__xludf.DUMMYFUNCTION("GOOGLEFINANCE(""NSE:""&amp;$A121,""low"")"),229.5)</f>
        <v/>
      </c>
      <c r="G121" s="12">
        <f>IFERROR(__xludf.DUMMYFUNCTION("IFERROR(INDEX(GOOGLEFINANCE(""NSE:""&amp;$A121,""close"",TODAY()),2,2),C121)"),232.4)</f>
        <v/>
      </c>
      <c r="H121" s="12">
        <f>IFERROR(__xludf.DUMMYFUNCTION("GOOGLEFINANCE(""NSE:""&amp;$A121,""closeyest"")"),230.0)</f>
        <v/>
      </c>
      <c r="I121" s="12">
        <f>IFERROR(C121-H121,"")</f>
        <v/>
      </c>
      <c r="J121" s="13">
        <f>IFERROR((C121-H121)/H121,"")</f>
        <v/>
      </c>
      <c r="K121" s="17">
        <f>IFERROR(__xludf.DUMMYFUNCTION("IFERROR(GOOGLEFINANCE(""NSE:""&amp;$A121,""marketcap""),"""")"),5.33031071E11)</f>
        <v/>
      </c>
      <c r="L121" s="15">
        <f>IFERROR(K121/SUMIF($B$2:$B$214,B121,$K$2:$K$214),"")</f>
        <v/>
      </c>
      <c r="M121" s="16">
        <f>IFERROR(K121/SUM($K$2:$K$214),"")</f>
        <v/>
      </c>
      <c r="N121" t="n">
        <v>0</v>
      </c>
      <c r="O121" t="n">
        <v>3</v>
      </c>
      <c r="P121" s="19" t="n">
        <v>23.12</v>
      </c>
      <c r="R121" s="19" t="n">
        <v>34.1</v>
      </c>
      <c r="S121" t="inlineStr">
        <is>
          <t>NEUTRAL</t>
        </is>
      </c>
      <c r="T121" s="19" t="n">
        <v>15.22</v>
      </c>
      <c r="V121" t="n">
        <v>52.66</v>
      </c>
    </row>
    <row r="122" ht="15.75" customHeight="1" s="23">
      <c r="A122" s="10" t="inlineStr">
        <is>
          <t>COFORGE</t>
        </is>
      </c>
      <c r="B122" s="11" t="inlineStr">
        <is>
          <t>IT</t>
        </is>
      </c>
      <c r="C122" s="12">
        <f>IFERROR(__xludf.DUMMYFUNCTION("GOOGLEFINANCE(""NSE:""&amp;$A122,""price"")"),1929.0)</f>
        <v/>
      </c>
      <c r="D122" s="12">
        <f>IFERROR(__xludf.DUMMYFUNCTION("GOOGLEFINANCE(""NSE:""&amp;$A122,""priceopen"")"),1866.1)</f>
        <v/>
      </c>
      <c r="E122" s="12">
        <f>IFERROR(__xludf.DUMMYFUNCTION("GOOGLEFINANCE(""NSE:""&amp;$A122,""high"")"),1943.5)</f>
        <v/>
      </c>
      <c r="F122" s="12">
        <f>IFERROR(__xludf.DUMMYFUNCTION("GOOGLEFINANCE(""NSE:""&amp;$A122,""low"")"),1852.2)</f>
        <v/>
      </c>
      <c r="G122" s="12">
        <f>IFERROR(__xludf.DUMMYFUNCTION("IFERROR(INDEX(GOOGLEFINANCE(""NSE:""&amp;$A122,""close"",TODAY()),2,2),C122)"),1929.0)</f>
        <v/>
      </c>
      <c r="H122" s="12">
        <f>IFERROR(__xludf.DUMMYFUNCTION("GOOGLEFINANCE(""NSE:""&amp;$A122,""closeyest"")"),1846.6)</f>
        <v/>
      </c>
      <c r="I122" s="12">
        <f>IFERROR(C122-H122,"")</f>
        <v/>
      </c>
      <c r="J122" s="13">
        <f>IFERROR((C122-H122)/H122,"")</f>
        <v/>
      </c>
      <c r="K122" s="17">
        <f>IFERROR(__xludf.DUMMYFUNCTION("IFERROR(GOOGLEFINANCE(""NSE:""&amp;$A122,""marketcap""),"""")"),1.19140978074E11)</f>
        <v/>
      </c>
      <c r="L122" s="15">
        <f>IFERROR(K122/SUMIF($B$2:$B$214,B122,$K$2:$K$214),"")</f>
        <v/>
      </c>
      <c r="M122" s="16">
        <f>IFERROR(K122/SUM($K$2:$K$214),"")</f>
        <v/>
      </c>
      <c r="N122" t="n">
        <v>3</v>
      </c>
      <c r="O122" t="n">
        <v>4</v>
      </c>
      <c r="P122" s="19" t="n">
        <v>54.26</v>
      </c>
      <c r="R122" s="19" t="n">
        <v>72.84</v>
      </c>
      <c r="S122" t="inlineStr">
        <is>
          <t>NEUTRAL</t>
        </is>
      </c>
      <c r="T122" s="19" t="n">
        <v>68.51000000000001</v>
      </c>
      <c r="V122" t="n">
        <v>82.05</v>
      </c>
    </row>
    <row r="123" ht="15.75" customHeight="1" s="23">
      <c r="A123" s="10" t="inlineStr">
        <is>
          <t>HCLTECH</t>
        </is>
      </c>
      <c r="B123" s="11" t="inlineStr">
        <is>
          <t>IT</t>
        </is>
      </c>
      <c r="C123" s="12">
        <f>IFERROR(__xludf.DUMMYFUNCTION("GOOGLEFINANCE(""NSE:""&amp;$A123,""price"")"),1326.0)</f>
        <v/>
      </c>
      <c r="D123" s="12">
        <f>IFERROR(__xludf.DUMMYFUNCTION("GOOGLEFINANCE(""NSE:""&amp;$A123,""priceopen"")"),1245.4)</f>
        <v/>
      </c>
      <c r="E123" s="12">
        <f>IFERROR(__xludf.DUMMYFUNCTION("GOOGLEFINANCE(""NSE:""&amp;$A123,""high"")"),1326.0)</f>
        <v/>
      </c>
      <c r="F123" s="12">
        <f>IFERROR(__xludf.DUMMYFUNCTION("GOOGLEFINANCE(""NSE:""&amp;$A123,""low"")"),1238.2)</f>
        <v/>
      </c>
      <c r="G123" s="12">
        <f>IFERROR(__xludf.DUMMYFUNCTION("IFERROR(INDEX(GOOGLEFINANCE(""NSE:""&amp;$A123,""close"",TODAY()),2,2),C123)"),1326.0)</f>
        <v/>
      </c>
      <c r="H123" s="12">
        <f>IFERROR(__xludf.DUMMYFUNCTION("GOOGLEFINANCE(""NSE:""&amp;$A123,""closeyest"")"),1223.0)</f>
        <v/>
      </c>
      <c r="I123" s="12">
        <f>IFERROR(C123-H123,"")</f>
        <v/>
      </c>
      <c r="J123" s="13">
        <f>IFERROR((C123-H123)/H123,"")</f>
        <v/>
      </c>
      <c r="K123" s="17">
        <f>IFERROR(__xludf.DUMMYFUNCTION("IFERROR(GOOGLEFINANCE(""NSE:""&amp;$A123,""marketcap""),"""")"),3.576394819E12)</f>
        <v/>
      </c>
      <c r="L123" s="15">
        <f>IFERROR(K123/SUMIF($B$2:$B$214,B123,$K$2:$K$214),"")</f>
        <v/>
      </c>
      <c r="M123" s="16">
        <f>IFERROR(K123/SUM($K$2:$K$214),"")</f>
        <v/>
      </c>
      <c r="N123" t="n">
        <v>2</v>
      </c>
      <c r="O123" t="n">
        <v>0</v>
      </c>
      <c r="P123" s="19" t="n">
        <v>47.81</v>
      </c>
      <c r="R123" s="19" t="n">
        <v>64.75</v>
      </c>
      <c r="S123" t="inlineStr">
        <is>
          <t>NEUTRAL</t>
        </is>
      </c>
      <c r="T123" s="19" t="n">
        <v>61.49</v>
      </c>
      <c r="V123" t="n">
        <v>85.86</v>
      </c>
    </row>
    <row r="124" ht="15.75" customHeight="1" s="23">
      <c r="A124" s="10" t="inlineStr">
        <is>
          <t>INFY</t>
        </is>
      </c>
      <c r="B124" s="11" t="inlineStr">
        <is>
          <t>IT</t>
        </is>
      </c>
      <c r="C124" s="12">
        <f>IFERROR(__xludf.DUMMYFUNCTION("GOOGLEFINANCE(""NSE:""&amp;$A124,""price"")"),1062.1)</f>
        <v/>
      </c>
      <c r="D124" s="12">
        <f>IFERROR(__xludf.DUMMYFUNCTION("GOOGLEFINANCE(""NSE:""&amp;$A124,""priceopen"")"),1029.2)</f>
        <v/>
      </c>
      <c r="E124" s="12">
        <f>IFERROR(__xludf.DUMMYFUNCTION("GOOGLEFINANCE(""NSE:""&amp;$A124,""high"")"),1065.0)</f>
        <v/>
      </c>
      <c r="F124" s="12">
        <f>IFERROR(__xludf.DUMMYFUNCTION("GOOGLEFINANCE(""NSE:""&amp;$A124,""low"")"),1027.0)</f>
        <v/>
      </c>
      <c r="G124" s="12">
        <f>IFERROR(__xludf.DUMMYFUNCTION("IFERROR(INDEX(GOOGLEFINANCE(""NSE:""&amp;$A124,""close"",TODAY()),2,2),C124)"),1062.1)</f>
        <v/>
      </c>
      <c r="H124" s="12">
        <f>IFERROR(__xludf.DUMMYFUNCTION("GOOGLEFINANCE(""NSE:""&amp;$A124,""closeyest"")"),1020.0)</f>
        <v/>
      </c>
      <c r="I124" s="12">
        <f>IFERROR(C124-H124,"")</f>
        <v/>
      </c>
      <c r="J124" s="13">
        <f>IFERROR((C124-H124)/H124,"")</f>
        <v/>
      </c>
      <c r="K124" s="17">
        <f>IFERROR(__xludf.DUMMYFUNCTION("IFERROR(GOOGLEFINANCE(""NSE:""&amp;$A124,""marketcap""),"""")"),4.5101775065E10)</f>
        <v/>
      </c>
      <c r="L124" s="15">
        <f>IFERROR(K124/SUMIF($B$2:$B$214,B124,$K$2:$K$214),"")</f>
        <v/>
      </c>
      <c r="M124" s="16">
        <f>IFERROR(K124/SUM($K$2:$K$214),"")</f>
        <v/>
      </c>
      <c r="N124" t="n">
        <v>3</v>
      </c>
      <c r="O124" t="n">
        <v>0</v>
      </c>
      <c r="P124" s="19" t="n">
        <v>36.48</v>
      </c>
      <c r="R124" s="19" t="n">
        <v>51.73</v>
      </c>
      <c r="S124" t="inlineStr">
        <is>
          <t>NEUTRAL</t>
        </is>
      </c>
      <c r="T124" s="19" t="n">
        <v>63.86</v>
      </c>
      <c r="V124" t="n">
        <v>83.73</v>
      </c>
    </row>
    <row r="125" ht="15.75" customHeight="1" s="23">
      <c r="A125" s="10" t="inlineStr">
        <is>
          <t>KPITTECH</t>
        </is>
      </c>
      <c r="B125" s="11" t="inlineStr">
        <is>
          <t>IT</t>
        </is>
      </c>
      <c r="C125" s="12">
        <f>IFERROR(__xludf.DUMMYFUNCTION("GOOGLEFINANCE(""NSE:""&amp;$A125,""price"")"),513.75)</f>
        <v/>
      </c>
      <c r="D125" s="12">
        <f>IFERROR(__xludf.DUMMYFUNCTION("GOOGLEFINANCE(""NSE:""&amp;$A125,""priceopen"")"),485.95)</f>
        <v/>
      </c>
      <c r="E125" s="12">
        <f>IFERROR(__xludf.DUMMYFUNCTION("GOOGLEFINANCE(""NSE:""&amp;$A125,""high"")"),515.35)</f>
        <v/>
      </c>
      <c r="F125" s="12">
        <f>IFERROR(__xludf.DUMMYFUNCTION("GOOGLEFINANCE(""NSE:""&amp;$A125,""low"")"),485.9)</f>
        <v/>
      </c>
      <c r="G125" s="12">
        <f>IFERROR(__xludf.DUMMYFUNCTION("IFERROR(INDEX(GOOGLEFINANCE(""NSE:""&amp;$A125,""close"",TODAY()),2,2),C125)"),513.75)</f>
        <v/>
      </c>
      <c r="H125" s="12">
        <f>IFERROR(__xludf.DUMMYFUNCTION("GOOGLEFINANCE(""NSE:""&amp;$A125,""closeyest"")"),481.0)</f>
        <v/>
      </c>
      <c r="I125" s="12">
        <f>IFERROR(C125-H125,"")</f>
        <v/>
      </c>
      <c r="J125" s="13">
        <f>IFERROR((C125-H125)/H125,"")</f>
        <v/>
      </c>
      <c r="K125" s="17">
        <f>IFERROR(__xludf.DUMMYFUNCTION("IFERROR(GOOGLEFINANCE(""NSE:""&amp;$A125,""marketcap""),"""")"),1.39508550274E11)</f>
        <v/>
      </c>
      <c r="L125" s="15">
        <f>IFERROR(K125/SUMIF($B$2:$B$214,B125,$K$2:$K$214),"")</f>
        <v/>
      </c>
      <c r="M125" s="16">
        <f>IFERROR(K125/SUM($K$2:$K$214),"")</f>
        <v/>
      </c>
      <c r="N125" t="n">
        <v>0</v>
      </c>
      <c r="O125" t="n">
        <v>1</v>
      </c>
      <c r="P125" s="19" t="n">
        <v>23.25</v>
      </c>
      <c r="R125" s="19" t="n">
        <v>44.7</v>
      </c>
      <c r="S125" t="inlineStr">
        <is>
          <t>NEUTRAL</t>
        </is>
      </c>
      <c r="T125" s="19" t="n">
        <v>48.87</v>
      </c>
      <c r="V125" t="n">
        <v>83.13</v>
      </c>
    </row>
    <row r="126" ht="15.75" customHeight="1" s="23">
      <c r="A126" s="10" t="inlineStr">
        <is>
          <t>LTM</t>
        </is>
      </c>
      <c r="B126" s="11" t="inlineStr">
        <is>
          <t>IT</t>
        </is>
      </c>
      <c r="C126" s="12">
        <f>IFERROR(__xludf.DUMMYFUNCTION("GOOGLEFINANCE(""NSE:""&amp;$A126,""price"")"),4215.0)</f>
        <v/>
      </c>
      <c r="D126" s="12">
        <f>IFERROR(__xludf.DUMMYFUNCTION("GOOGLEFINANCE(""NSE:""&amp;$A126,""priceopen"")"),4059.1)</f>
        <v/>
      </c>
      <c r="E126" s="12">
        <f>IFERROR(__xludf.DUMMYFUNCTION("GOOGLEFINANCE(""NSE:""&amp;$A126,""high"")"),4220.0)</f>
        <v/>
      </c>
      <c r="F126" s="12">
        <f>IFERROR(__xludf.DUMMYFUNCTION("GOOGLEFINANCE(""NSE:""&amp;$A126,""low"")"),4055.8)</f>
        <v/>
      </c>
      <c r="G126" s="12">
        <f>IFERROR(__xludf.DUMMYFUNCTION("IFERROR(INDEX(GOOGLEFINANCE(""NSE:""&amp;$A126,""close"",TODAY()),2,2),C126)"),4215.0)</f>
        <v/>
      </c>
      <c r="H126" s="12">
        <f>IFERROR(__xludf.DUMMYFUNCTION("GOOGLEFINANCE(""NSE:""&amp;$A126,""closeyest"")"),4018.9)</f>
        <v/>
      </c>
      <c r="I126" s="12">
        <f>IFERROR(C126-H126,"")</f>
        <v/>
      </c>
      <c r="J126" s="13">
        <f>IFERROR((C126-H126)/H126,"")</f>
        <v/>
      </c>
      <c r="K126" s="17">
        <f>IFERROR(__xludf.DUMMYFUNCTION("IFERROR(GOOGLEFINANCE(""NSE:""&amp;$A126,""marketcap""),"""")"),1.191559E12)</f>
        <v/>
      </c>
      <c r="L126" s="15">
        <f>IFERROR(K126/SUMIF($B$2:$B$214,B126,$K$2:$K$214),"")</f>
        <v/>
      </c>
      <c r="M126" s="16">
        <f>IFERROR(K126/SUM($K$2:$K$214),"")</f>
        <v/>
      </c>
      <c r="N126" t="n">
        <v>1</v>
      </c>
      <c r="O126" t="n">
        <v>0</v>
      </c>
      <c r="P126" s="19" t="n">
        <v>42.72</v>
      </c>
      <c r="R126" s="19" t="n">
        <v>54.77</v>
      </c>
      <c r="S126" t="inlineStr">
        <is>
          <t>NEUTRAL</t>
        </is>
      </c>
      <c r="T126" s="19" t="n">
        <v>57.72</v>
      </c>
      <c r="V126" t="n">
        <v>75.27</v>
      </c>
    </row>
    <row r="127" ht="15.75" customHeight="1" s="23">
      <c r="A127" s="10" t="inlineStr">
        <is>
          <t>MPHASIS</t>
        </is>
      </c>
      <c r="B127" s="11" t="inlineStr">
        <is>
          <t>IT</t>
        </is>
      </c>
      <c r="C127" s="12">
        <f>IFERROR(__xludf.DUMMYFUNCTION("GOOGLEFINANCE(""NSE:""&amp;$A127,""price"")"),2466.3)</f>
        <v/>
      </c>
      <c r="D127" s="12">
        <f>IFERROR(__xludf.DUMMYFUNCTION("GOOGLEFINANCE(""NSE:""&amp;$A127,""priceopen"")"),2377.0)</f>
        <v/>
      </c>
      <c r="E127" s="12">
        <f>IFERROR(__xludf.DUMMYFUNCTION("GOOGLEFINANCE(""NSE:""&amp;$A127,""high"")"),2467.4)</f>
        <v/>
      </c>
      <c r="F127" s="12">
        <f>IFERROR(__xludf.DUMMYFUNCTION("GOOGLEFINANCE(""NSE:""&amp;$A127,""low"")"),2377.0)</f>
        <v/>
      </c>
      <c r="G127" s="12">
        <f>IFERROR(__xludf.DUMMYFUNCTION("IFERROR(INDEX(GOOGLEFINANCE(""NSE:""&amp;$A127,""close"",TODAY()),2,2),C127)"),2466.3)</f>
        <v/>
      </c>
      <c r="H127" s="12">
        <f>IFERROR(__xludf.DUMMYFUNCTION("GOOGLEFINANCE(""NSE:""&amp;$A127,""closeyest"")"),2353.5)</f>
        <v/>
      </c>
      <c r="I127" s="12">
        <f>IFERROR(C127-H127,"")</f>
        <v/>
      </c>
      <c r="J127" s="13">
        <f>IFERROR((C127-H127)/H127,"")</f>
        <v/>
      </c>
      <c r="K127" s="17">
        <f>IFERROR(__xludf.DUMMYFUNCTION("IFERROR(GOOGLEFINANCE(""NSE:""&amp;$A127,""marketcap""),"""")"),4.686356935E11)</f>
        <v/>
      </c>
      <c r="L127" s="15">
        <f>IFERROR(K127/SUMIF($B$2:$B$214,B127,$K$2:$K$214),"")</f>
        <v/>
      </c>
      <c r="M127" s="16">
        <f>IFERROR(K127/SUM($K$2:$K$214),"")</f>
        <v/>
      </c>
      <c r="N127" t="n">
        <v>2</v>
      </c>
      <c r="O127" t="n">
        <v>0</v>
      </c>
      <c r="P127" s="19" t="n">
        <v>43.72</v>
      </c>
      <c r="R127" s="19" t="n">
        <v>55.62</v>
      </c>
      <c r="S127" t="inlineStr">
        <is>
          <t>NEUTRAL</t>
        </is>
      </c>
      <c r="T127" s="19" t="n">
        <v>68.16</v>
      </c>
      <c r="V127" t="n">
        <v>69.97</v>
      </c>
    </row>
    <row r="128" ht="15.75" customHeight="1" s="23">
      <c r="A128" s="10" t="inlineStr">
        <is>
          <t>OFSS</t>
        </is>
      </c>
      <c r="B128" s="11" t="inlineStr">
        <is>
          <t>IT</t>
        </is>
      </c>
      <c r="C128" s="12">
        <f>IFERROR(__xludf.DUMMYFUNCTION("GOOGLEFINANCE(""NSE:""&amp;$A128,""price"")"),10640.0)</f>
        <v/>
      </c>
      <c r="D128" s="12">
        <f>IFERROR(__xludf.DUMMYFUNCTION("GOOGLEFINANCE(""NSE:""&amp;$A128,""priceopen"")"),10477.0)</f>
        <v/>
      </c>
      <c r="E128" s="12">
        <f>IFERROR(__xludf.DUMMYFUNCTION("GOOGLEFINANCE(""NSE:""&amp;$A128,""high"")"),10692.0)</f>
        <v/>
      </c>
      <c r="F128" s="12">
        <f>IFERROR(__xludf.DUMMYFUNCTION("GOOGLEFINANCE(""NSE:""&amp;$A128,""low"")"),10432.0)</f>
        <v/>
      </c>
      <c r="G128" s="12">
        <f>IFERROR(__xludf.DUMMYFUNCTION("IFERROR(INDEX(GOOGLEFINANCE(""NSE:""&amp;$A128,""close"",TODAY()),2,2),C128)"),10640.0)</f>
        <v/>
      </c>
      <c r="H128" s="12">
        <f>IFERROR(__xludf.DUMMYFUNCTION("GOOGLEFINANCE(""NSE:""&amp;$A128,""closeyest"")"),10360.0)</f>
        <v/>
      </c>
      <c r="I128" s="12">
        <f>IFERROR(C128-H128,"")</f>
        <v/>
      </c>
      <c r="J128" s="13">
        <f>IFERROR((C128-H128)/H128,"")</f>
        <v/>
      </c>
      <c r="K128" s="17">
        <f>IFERROR(__xludf.DUMMYFUNCTION("IFERROR(GOOGLEFINANCE(""NSE:""&amp;$A128,""marketcap""),"""")"),9.23893182279E11)</f>
        <v/>
      </c>
      <c r="L128" s="15">
        <f>IFERROR(K128/SUMIF($B$2:$B$214,B128,$K$2:$K$214),"")</f>
        <v/>
      </c>
      <c r="M128" s="16">
        <f>IFERROR(K128/SUM($K$2:$K$214),"")</f>
        <v/>
      </c>
      <c r="N128" t="n">
        <v>0</v>
      </c>
      <c r="O128" t="n">
        <v>2</v>
      </c>
      <c r="P128" s="19" t="n">
        <v>62.31</v>
      </c>
      <c r="R128" s="19" t="n">
        <v>38.17</v>
      </c>
      <c r="S128" t="inlineStr">
        <is>
          <t>NEUTRAL</t>
        </is>
      </c>
      <c r="T128" s="19" t="n">
        <v>40.17</v>
      </c>
      <c r="V128" t="n">
        <v>53.6</v>
      </c>
    </row>
    <row r="129" ht="15.75" customHeight="1" s="23">
      <c r="A129" s="10" t="inlineStr">
        <is>
          <t>PERSISTENT</t>
        </is>
      </c>
      <c r="B129" s="11" t="inlineStr">
        <is>
          <t>IT</t>
        </is>
      </c>
      <c r="C129" s="12">
        <f>IFERROR(__xludf.DUMMYFUNCTION("GOOGLEFINANCE(""NSE:""&amp;$A129,""price"")"),5988.0)</f>
        <v/>
      </c>
      <c r="D129" s="12">
        <f>IFERROR(__xludf.DUMMYFUNCTION("GOOGLEFINANCE(""NSE:""&amp;$A129,""priceopen"")"),5801.0)</f>
        <v/>
      </c>
      <c r="E129" s="12">
        <f>IFERROR(__xludf.DUMMYFUNCTION("GOOGLEFINANCE(""NSE:""&amp;$A129,""high"")"),6008.5)</f>
        <v/>
      </c>
      <c r="F129" s="12">
        <f>IFERROR(__xludf.DUMMYFUNCTION("GOOGLEFINANCE(""NSE:""&amp;$A129,""low"")"),5787.0)</f>
        <v/>
      </c>
      <c r="G129" s="12">
        <f>IFERROR(__xludf.DUMMYFUNCTION("IFERROR(INDEX(GOOGLEFINANCE(""NSE:""&amp;$A129,""close"",TODAY()),2,2),C129)"),5988.0)</f>
        <v/>
      </c>
      <c r="H129" s="12">
        <f>IFERROR(__xludf.DUMMYFUNCTION("GOOGLEFINANCE(""NSE:""&amp;$A129,""closeyest"")"),5787.0)</f>
        <v/>
      </c>
      <c r="I129" s="12">
        <f>IFERROR(C129-H129,"")</f>
        <v/>
      </c>
      <c r="J129" s="13">
        <f>IFERROR((C129-H129)/H129,"")</f>
        <v/>
      </c>
      <c r="K129" s="17">
        <f>IFERROR(__xludf.DUMMYFUNCTION("IFERROR(GOOGLEFINANCE(""NSE:""&amp;$A129,""marketcap""),"""")"),9.30318E11)</f>
        <v/>
      </c>
      <c r="L129" s="15">
        <f>IFERROR(K129/SUMIF($B$2:$B$214,B129,$K$2:$K$214),"")</f>
        <v/>
      </c>
      <c r="M129" s="16">
        <f>IFERROR(K129/SUM($K$2:$K$214),"")</f>
        <v/>
      </c>
      <c r="N129" t="n">
        <v>3</v>
      </c>
      <c r="O129" t="n">
        <v>2</v>
      </c>
      <c r="P129" s="19" t="n">
        <v>54.32</v>
      </c>
      <c r="R129" s="19" t="n">
        <v>71.27</v>
      </c>
      <c r="S129" t="inlineStr">
        <is>
          <t>NEUTRAL</t>
        </is>
      </c>
      <c r="T129" s="19" t="n">
        <v>73.81</v>
      </c>
      <c r="V129" t="n">
        <v>64.68000000000001</v>
      </c>
    </row>
    <row r="130" ht="15.75" customHeight="1" s="23">
      <c r="A130" s="10" t="inlineStr">
        <is>
          <t>SAGILITY</t>
        </is>
      </c>
      <c r="B130" s="11" t="inlineStr">
        <is>
          <t>IT</t>
        </is>
      </c>
      <c r="C130" s="12">
        <f>IFERROR(__xludf.DUMMYFUNCTION("GOOGLEFINANCE(""NSE:""&amp;$A130,""price"")"),44.36)</f>
        <v/>
      </c>
      <c r="D130" s="12">
        <f>IFERROR(__xludf.DUMMYFUNCTION("GOOGLEFINANCE(""NSE:""&amp;$A130,""priceopen"")"),43.25)</f>
        <v/>
      </c>
      <c r="E130" s="12">
        <f>IFERROR(__xludf.DUMMYFUNCTION("GOOGLEFINANCE(""NSE:""&amp;$A130,""high"")"),44.36)</f>
        <v/>
      </c>
      <c r="F130" s="12">
        <f>IFERROR(__xludf.DUMMYFUNCTION("GOOGLEFINANCE(""NSE:""&amp;$A130,""low"")"),42.76)</f>
        <v/>
      </c>
      <c r="G130" s="12">
        <f>IFERROR(__xludf.DUMMYFUNCTION("IFERROR(INDEX(GOOGLEFINANCE(""NSE:""&amp;$A130,""close"",TODAY()),2,2),C130)"),44.36)</f>
        <v/>
      </c>
      <c r="H130" s="12">
        <f>IFERROR(__xludf.DUMMYFUNCTION("GOOGLEFINANCE(""NSE:""&amp;$A130,""closeyest"")"),43.19)</f>
        <v/>
      </c>
      <c r="I130" s="12">
        <f>IFERROR(C130-H130,"")</f>
        <v/>
      </c>
      <c r="J130" s="13">
        <f>IFERROR((C130-H130)/H130,"")</f>
        <v/>
      </c>
      <c r="K130" s="17">
        <f>IFERROR(__xludf.DUMMYFUNCTION("IFERROR(GOOGLEFINANCE(""NSE:""&amp;$A130,""marketcap""),"""")"),2.06896811429E11)</f>
        <v/>
      </c>
      <c r="L130" s="15">
        <f>IFERROR(K130/SUMIF($B$2:$B$214,B130,$K$2:$K$214),"")</f>
        <v/>
      </c>
      <c r="M130" s="16">
        <f>IFERROR(K130/SUM($K$2:$K$214),"")</f>
        <v/>
      </c>
      <c r="N130" t="n">
        <v>1</v>
      </c>
      <c r="O130" t="n">
        <v>0</v>
      </c>
      <c r="P130" s="19" t="n">
        <v>51.92</v>
      </c>
      <c r="R130" s="19" t="n">
        <v>58.5</v>
      </c>
      <c r="S130" t="inlineStr">
        <is>
          <t>NEUTRAL</t>
        </is>
      </c>
      <c r="T130" s="19" t="n">
        <v>47.97</v>
      </c>
      <c r="V130" t="n">
        <v>77.56999999999999</v>
      </c>
    </row>
    <row r="131" ht="15.75" customHeight="1" s="23">
      <c r="A131" s="10" t="inlineStr">
        <is>
          <t>TATAELXSI</t>
        </is>
      </c>
      <c r="B131" s="11" t="inlineStr">
        <is>
          <t>IT</t>
        </is>
      </c>
      <c r="C131" s="12">
        <f>IFERROR(__xludf.DUMMYFUNCTION("GOOGLEFINANCE(""NSE:""&amp;$A131,""price"")"),3426.7)</f>
        <v/>
      </c>
      <c r="D131" s="12">
        <f>IFERROR(__xludf.DUMMYFUNCTION("GOOGLEFINANCE(""NSE:""&amp;$A131,""priceopen"")"),3256.0)</f>
        <v/>
      </c>
      <c r="E131" s="12">
        <f>IFERROR(__xludf.DUMMYFUNCTION("GOOGLEFINANCE(""NSE:""&amp;$A131,""high"")"),3429.0)</f>
        <v/>
      </c>
      <c r="F131" s="12">
        <f>IFERROR(__xludf.DUMMYFUNCTION("GOOGLEFINANCE(""NSE:""&amp;$A131,""low"")"),3245.1)</f>
        <v/>
      </c>
      <c r="G131" s="12">
        <f>IFERROR(__xludf.DUMMYFUNCTION("IFERROR(INDEX(GOOGLEFINANCE(""NSE:""&amp;$A131,""close"",TODAY()),2,2),C131)"),3426.7)</f>
        <v/>
      </c>
      <c r="H131" s="12">
        <f>IFERROR(__xludf.DUMMYFUNCTION("GOOGLEFINANCE(""NSE:""&amp;$A131,""closeyest"")"),3257.0)</f>
        <v/>
      </c>
      <c r="I131" s="12">
        <f>IFERROR(C131-H131,"")</f>
        <v/>
      </c>
      <c r="J131" s="13">
        <f>IFERROR((C131-H131)/H131,"")</f>
        <v/>
      </c>
      <c r="K131" s="17">
        <f>IFERROR(__xludf.DUMMYFUNCTION("IFERROR(GOOGLEFINANCE(""NSE:""&amp;$A131,""marketcap""),"""")"),2.13471429659E11)</f>
        <v/>
      </c>
      <c r="L131" s="15">
        <f>IFERROR(K131/SUMIF($B$2:$B$214,B131,$K$2:$K$214),"")</f>
        <v/>
      </c>
      <c r="M131" s="16">
        <f>IFERROR(K131/SUM($K$2:$K$214),"")</f>
        <v/>
      </c>
      <c r="N131" t="n">
        <v>1</v>
      </c>
      <c r="O131" t="n">
        <v>1</v>
      </c>
      <c r="P131" s="19" t="n">
        <v>30.85</v>
      </c>
      <c r="R131" s="19" t="n">
        <v>48</v>
      </c>
      <c r="S131" t="inlineStr">
        <is>
          <t>NEUTRAL</t>
        </is>
      </c>
      <c r="T131" s="19" t="n">
        <v>72.08</v>
      </c>
      <c r="V131" t="n">
        <v>86.09999999999999</v>
      </c>
    </row>
    <row r="132" ht="15.75" customHeight="1" s="23">
      <c r="A132" s="10" t="inlineStr">
        <is>
          <t>TCS</t>
        </is>
      </c>
      <c r="B132" s="11" t="inlineStr">
        <is>
          <t>IT</t>
        </is>
      </c>
      <c r="C132" s="12">
        <f>IFERROR(__xludf.DUMMYFUNCTION("GOOGLEFINANCE(""NSE:""&amp;$A132,""price"")"),2269.3)</f>
        <v/>
      </c>
      <c r="D132" s="12">
        <f>IFERROR(__xludf.DUMMYFUNCTION("GOOGLEFINANCE(""NSE:""&amp;$A132,""priceopen"")"),2156.9)</f>
        <v/>
      </c>
      <c r="E132" s="12">
        <f>IFERROR(__xludf.DUMMYFUNCTION("GOOGLEFINANCE(""NSE:""&amp;$A132,""high"")"),2269.3)</f>
        <v/>
      </c>
      <c r="F132" s="12">
        <f>IFERROR(__xludf.DUMMYFUNCTION("GOOGLEFINANCE(""NSE:""&amp;$A132,""low"")"),2155.0)</f>
        <v/>
      </c>
      <c r="G132" s="12">
        <f>IFERROR(__xludf.DUMMYFUNCTION("IFERROR(INDEX(GOOGLEFINANCE(""NSE:""&amp;$A132,""close"",TODAY()),2,2),C132)"),2269.3)</f>
        <v/>
      </c>
      <c r="H132" s="12">
        <f>IFERROR(__xludf.DUMMYFUNCTION("GOOGLEFINANCE(""NSE:""&amp;$A132,""closeyest"")"),2125.0)</f>
        <v/>
      </c>
      <c r="I132" s="12">
        <f>IFERROR(C132-H132,"")</f>
        <v/>
      </c>
      <c r="J132" s="13">
        <f>IFERROR((C132-H132)/H132,"")</f>
        <v/>
      </c>
      <c r="K132" s="17">
        <f>IFERROR(__xludf.DUMMYFUNCTION("IFERROR(GOOGLEFINANCE(""NSE:""&amp;$A132,""marketcap""),"""")"),8.203416074E12)</f>
        <v/>
      </c>
      <c r="L132" s="15">
        <f>IFERROR(K132/SUMIF($B$2:$B$214,B132,$K$2:$K$214),"")</f>
        <v/>
      </c>
      <c r="M132" s="16">
        <f>IFERROR(K132/SUM($K$2:$K$214),"")</f>
        <v/>
      </c>
      <c r="N132" t="n">
        <v>3</v>
      </c>
      <c r="O132" t="n">
        <v>0</v>
      </c>
      <c r="P132" s="19" t="n">
        <v>38.47</v>
      </c>
      <c r="R132" s="19" t="n">
        <v>61.54</v>
      </c>
      <c r="S132" t="inlineStr">
        <is>
          <t>NEUTRAL</t>
        </is>
      </c>
      <c r="T132" s="19" t="n">
        <v>73.67</v>
      </c>
      <c r="V132" t="n">
        <v>84.66</v>
      </c>
    </row>
    <row r="133" ht="15.75" customHeight="1" s="23">
      <c r="A133" s="10" t="inlineStr">
        <is>
          <t>TECHM</t>
        </is>
      </c>
      <c r="B133" s="11" t="inlineStr">
        <is>
          <t>IT</t>
        </is>
      </c>
      <c r="C133" s="12">
        <f>IFERROR(__xludf.DUMMYFUNCTION("GOOGLEFINANCE(""NSE:""&amp;$A133,""price"")"),1543.5)</f>
        <v/>
      </c>
      <c r="D133" s="12">
        <f>IFERROR(__xludf.DUMMYFUNCTION("GOOGLEFINANCE(""NSE:""&amp;$A133,""priceopen"")"),1479.5)</f>
        <v/>
      </c>
      <c r="E133" s="12">
        <f>IFERROR(__xludf.DUMMYFUNCTION("GOOGLEFINANCE(""NSE:""&amp;$A133,""high"")"),1543.5)</f>
        <v/>
      </c>
      <c r="F133" s="12">
        <f>IFERROR(__xludf.DUMMYFUNCTION("GOOGLEFINANCE(""NSE:""&amp;$A133,""low"")"),1479.5)</f>
        <v/>
      </c>
      <c r="G133" s="12">
        <f>IFERROR(__xludf.DUMMYFUNCTION("IFERROR(INDEX(GOOGLEFINANCE(""NSE:""&amp;$A133,""close"",TODAY()),2,2),C133)"),1543.5)</f>
        <v/>
      </c>
      <c r="H133" s="12">
        <f>IFERROR(__xludf.DUMMYFUNCTION("GOOGLEFINANCE(""NSE:""&amp;$A133,""closeyest"")"),1471.0)</f>
        <v/>
      </c>
      <c r="I133" s="12">
        <f>IFERROR(C133-H133,"")</f>
        <v/>
      </c>
      <c r="J133" s="13">
        <f>IFERROR((C133-H133)/H133,"")</f>
        <v/>
      </c>
      <c r="K133" s="17">
        <f>IFERROR(__xludf.DUMMYFUNCTION("IFERROR(GOOGLEFINANCE(""NSE:""&amp;$A133,""marketcap""),"""")"),1.5099820662E12)</f>
        <v/>
      </c>
      <c r="L133" s="15">
        <f>IFERROR(K133/SUMIF($B$2:$B$214,B133,$K$2:$K$214),"")</f>
        <v/>
      </c>
      <c r="M133" s="16">
        <f>IFERROR(K133/SUM($K$2:$K$214),"")</f>
        <v/>
      </c>
      <c r="N133" t="n">
        <v>2</v>
      </c>
      <c r="O133" t="n">
        <v>0</v>
      </c>
      <c r="P133" s="19" t="n">
        <v>55</v>
      </c>
      <c r="R133" s="19" t="n">
        <v>60.8</v>
      </c>
      <c r="S133" t="inlineStr">
        <is>
          <t>NEUTRAL</t>
        </is>
      </c>
      <c r="T133" s="19" t="n">
        <v>53.06</v>
      </c>
      <c r="V133" t="n">
        <v>87.11</v>
      </c>
    </row>
    <row r="134" ht="15.75" customHeight="1" s="23">
      <c r="A134" s="10" t="inlineStr">
        <is>
          <t>WIPRO</t>
        </is>
      </c>
      <c r="B134" s="11" t="inlineStr">
        <is>
          <t>IT</t>
        </is>
      </c>
      <c r="C134" s="12">
        <f>IFERROR(__xludf.DUMMYFUNCTION("GOOGLEFINANCE(""NSE:""&amp;$A134,""price"")"),169.0)</f>
        <v/>
      </c>
      <c r="D134" s="12">
        <f>IFERROR(__xludf.DUMMYFUNCTION("GOOGLEFINANCE(""NSE:""&amp;$A134,""priceopen"")"),163.5)</f>
        <v/>
      </c>
      <c r="E134" s="12">
        <f>IFERROR(__xludf.DUMMYFUNCTION("GOOGLEFINANCE(""NSE:""&amp;$A134,""high"")"),169.0)</f>
        <v/>
      </c>
      <c r="F134" s="12">
        <f>IFERROR(__xludf.DUMMYFUNCTION("GOOGLEFINANCE(""NSE:""&amp;$A134,""low"")"),162.12)</f>
        <v/>
      </c>
      <c r="G134" s="12">
        <f>IFERROR(__xludf.DUMMYFUNCTION("IFERROR(INDEX(GOOGLEFINANCE(""NSE:""&amp;$A134,""close"",TODAY()),2,2),C134)"),169.0)</f>
        <v/>
      </c>
      <c r="H134" s="12">
        <f>IFERROR(__xludf.DUMMYFUNCTION("GOOGLEFINANCE(""NSE:""&amp;$A134,""closeyest"")"),161.8)</f>
        <v/>
      </c>
      <c r="I134" s="12">
        <f>IFERROR(C134-H134,"")</f>
        <v/>
      </c>
      <c r="J134" s="13">
        <f>IFERROR((C134-H134)/H134,"")</f>
        <v/>
      </c>
      <c r="K134" s="17">
        <f>IFERROR(__xludf.DUMMYFUNCTION("IFERROR(GOOGLEFINANCE(""NSE:""&amp;$A134,""marketcap""),"""")"),1.7565398504E10)</f>
        <v/>
      </c>
      <c r="L134" s="15">
        <f>IFERROR(K134/SUMIF($B$2:$B$214,B134,$K$2:$K$214),"")</f>
        <v/>
      </c>
      <c r="M134" s="16">
        <f>IFERROR(K134/SUM($K$2:$K$214),"")</f>
        <v/>
      </c>
      <c r="N134" t="n">
        <v>0</v>
      </c>
      <c r="O134" t="n">
        <v>1</v>
      </c>
      <c r="P134" s="19" t="n">
        <v>33.08</v>
      </c>
      <c r="R134" s="19" t="n">
        <v>47.64</v>
      </c>
      <c r="S134" t="inlineStr">
        <is>
          <t>NEUTRAL</t>
        </is>
      </c>
      <c r="T134" s="19" t="n">
        <v>59.39</v>
      </c>
      <c r="V134" t="n">
        <v>81.89</v>
      </c>
    </row>
    <row r="135" ht="15.75" customHeight="1" s="23">
      <c r="A135" s="10" t="inlineStr">
        <is>
          <t>APLAPOLLO</t>
        </is>
      </c>
      <c r="B135" s="11" t="inlineStr">
        <is>
          <t>Metals &amp; Mining</t>
        </is>
      </c>
      <c r="C135" s="12">
        <f>IFERROR(__xludf.DUMMYFUNCTION("GOOGLEFINANCE(""NSE:""&amp;$A135,""price"")"),2185.0)</f>
        <v/>
      </c>
      <c r="D135" s="12">
        <f>IFERROR(__xludf.DUMMYFUNCTION("GOOGLEFINANCE(""NSE:""&amp;$A135,""priceopen"")"),2156.0)</f>
        <v/>
      </c>
      <c r="E135" s="12">
        <f>IFERROR(__xludf.DUMMYFUNCTION("GOOGLEFINANCE(""NSE:""&amp;$A135,""high"")"),2188.7)</f>
        <v/>
      </c>
      <c r="F135" s="12">
        <f>IFERROR(__xludf.DUMMYFUNCTION("GOOGLEFINANCE(""NSE:""&amp;$A135,""low"")"),2130.5)</f>
        <v/>
      </c>
      <c r="G135" s="12">
        <f>IFERROR(__xludf.DUMMYFUNCTION("IFERROR(INDEX(GOOGLEFINANCE(""NSE:""&amp;$A135,""close"",TODAY()),2,2),C135)"),2185.0)</f>
        <v/>
      </c>
      <c r="H135" s="12">
        <f>IFERROR(__xludf.DUMMYFUNCTION("GOOGLEFINANCE(""NSE:""&amp;$A135,""closeyest"")"),2157.4)</f>
        <v/>
      </c>
      <c r="I135" s="12">
        <f>IFERROR(C135-H135,"")</f>
        <v/>
      </c>
      <c r="J135" s="13">
        <f>IFERROR((C135-H135)/H135,"")</f>
        <v/>
      </c>
      <c r="K135" s="17">
        <f>IFERROR(__xludf.DUMMYFUNCTION("IFERROR(GOOGLEFINANCE(""NSE:""&amp;$A135,""marketcap""),"""")"),6.06683604E11)</f>
        <v/>
      </c>
      <c r="L135" s="15">
        <f>IFERROR(K135/SUMIF($B$2:$B$214,B135,$K$2:$K$214),"")</f>
        <v/>
      </c>
      <c r="M135" s="16">
        <f>IFERROR(K135/SUM($K$2:$K$214),"")</f>
        <v/>
      </c>
      <c r="N135" t="n">
        <v>4</v>
      </c>
      <c r="O135" t="n">
        <v>0</v>
      </c>
      <c r="P135" s="19" t="n">
        <v>66.47</v>
      </c>
      <c r="R135" s="19" t="n">
        <v>67.67</v>
      </c>
      <c r="S135" t="inlineStr">
        <is>
          <t>BULLISH</t>
        </is>
      </c>
      <c r="T135" s="19" t="n">
        <v>46.44</v>
      </c>
      <c r="V135" t="n">
        <v>50.78</v>
      </c>
    </row>
    <row r="136" ht="15.75" customHeight="1" s="23">
      <c r="A136" s="10" t="inlineStr">
        <is>
          <t>COALINDIA</t>
        </is>
      </c>
      <c r="B136" s="11" t="inlineStr">
        <is>
          <t>Metals &amp; Mining</t>
        </is>
      </c>
      <c r="C136" s="12">
        <f>IFERROR(__xludf.DUMMYFUNCTION("GOOGLEFINANCE(""NSE:""&amp;$A136,""price"")"),408.5)</f>
        <v/>
      </c>
      <c r="D136" s="12">
        <f>IFERROR(__xludf.DUMMYFUNCTION("GOOGLEFINANCE(""NSE:""&amp;$A136,""priceopen"")"),405.0)</f>
        <v/>
      </c>
      <c r="E136" s="12">
        <f>IFERROR(__xludf.DUMMYFUNCTION("GOOGLEFINANCE(""NSE:""&amp;$A136,""high"")"),410.15)</f>
        <v/>
      </c>
      <c r="F136" s="12">
        <f>IFERROR(__xludf.DUMMYFUNCTION("GOOGLEFINANCE(""NSE:""&amp;$A136,""low"")"),402.8)</f>
        <v/>
      </c>
      <c r="G136" s="12">
        <f>IFERROR(__xludf.DUMMYFUNCTION("IFERROR(INDEX(GOOGLEFINANCE(""NSE:""&amp;$A136,""close"",TODAY()),2,2),C136)"),408.5)</f>
        <v/>
      </c>
      <c r="H136" s="12">
        <f>IFERROR(__xludf.DUMMYFUNCTION("GOOGLEFINANCE(""NSE:""&amp;$A136,""closeyest"")"),404.8)</f>
        <v/>
      </c>
      <c r="I136" s="12">
        <f>IFERROR(C136-H136,"")</f>
        <v/>
      </c>
      <c r="J136" s="13">
        <f>IFERROR((C136-H136)/H136,"")</f>
        <v/>
      </c>
      <c r="K136" s="17">
        <f>IFERROR(__xludf.DUMMYFUNCTION("IFERROR(GOOGLEFINANCE(""NSE:""&amp;$A136,""marketcap""),"""")"),2.519923438E12)</f>
        <v/>
      </c>
      <c r="L136" s="15">
        <f>IFERROR(K136/SUMIF($B$2:$B$214,B136,$K$2:$K$214),"")</f>
        <v/>
      </c>
      <c r="M136" s="16">
        <f>IFERROR(K136/SUM($K$2:$K$214),"")</f>
        <v/>
      </c>
      <c r="N136" t="n">
        <v>0</v>
      </c>
      <c r="O136" t="n">
        <v>1</v>
      </c>
      <c r="P136" s="19" t="n">
        <v>63.64</v>
      </c>
      <c r="R136" s="19" t="n">
        <v>49.37</v>
      </c>
      <c r="S136" t="inlineStr">
        <is>
          <t>NEUTRAL</t>
        </is>
      </c>
      <c r="T136" s="19" t="n">
        <v>44.16</v>
      </c>
      <c r="V136" t="n">
        <v>80.87</v>
      </c>
    </row>
    <row r="137" ht="15.75" customHeight="1" s="23">
      <c r="A137" s="10" t="inlineStr">
        <is>
          <t>HINDALCO</t>
        </is>
      </c>
      <c r="B137" s="11" t="inlineStr">
        <is>
          <t>Metals &amp; Mining</t>
        </is>
      </c>
      <c r="C137" s="12">
        <f>IFERROR(__xludf.DUMMYFUNCTION("GOOGLEFINANCE(""NSE:""&amp;$A137,""price"")"),902.25)</f>
        <v/>
      </c>
      <c r="D137" s="12">
        <f>IFERROR(__xludf.DUMMYFUNCTION("GOOGLEFINANCE(""NSE:""&amp;$A137,""priceopen"")"),886.0)</f>
        <v/>
      </c>
      <c r="E137" s="12">
        <f>IFERROR(__xludf.DUMMYFUNCTION("GOOGLEFINANCE(""NSE:""&amp;$A137,""high"")"),902.25)</f>
        <v/>
      </c>
      <c r="F137" s="12">
        <f>IFERROR(__xludf.DUMMYFUNCTION("GOOGLEFINANCE(""NSE:""&amp;$A137,""low"")"),882.65)</f>
        <v/>
      </c>
      <c r="G137" s="12">
        <f>IFERROR(__xludf.DUMMYFUNCTION("IFERROR(INDEX(GOOGLEFINANCE(""NSE:""&amp;$A137,""close"",TODAY()),2,2),C137)"),902.25)</f>
        <v/>
      </c>
      <c r="H137" s="12">
        <f>IFERROR(__xludf.DUMMYFUNCTION("GOOGLEFINANCE(""NSE:""&amp;$A137,""closeyest"")"),882.5)</f>
        <v/>
      </c>
      <c r="I137" s="12">
        <f>IFERROR(C137-H137,"")</f>
        <v/>
      </c>
      <c r="J137" s="13">
        <f>IFERROR((C137-H137)/H137,"")</f>
        <v/>
      </c>
      <c r="K137" s="17">
        <f>IFERROR(__xludf.DUMMYFUNCTION("IFERROR(GOOGLEFINANCE(""NSE:""&amp;$A137,""marketcap""),"""")"),2.013820288204E12)</f>
        <v/>
      </c>
      <c r="L137" s="15">
        <f>IFERROR(K137/SUMIF($B$2:$B$214,B137,$K$2:$K$214),"")</f>
        <v/>
      </c>
      <c r="M137" s="16">
        <f>IFERROR(K137/SUM($K$2:$K$214),"")</f>
        <v/>
      </c>
      <c r="N137" t="n">
        <v>0</v>
      </c>
      <c r="O137" t="n">
        <v>3</v>
      </c>
      <c r="P137" s="19" t="n">
        <v>58.93</v>
      </c>
      <c r="R137" s="19" t="n">
        <v>37.67</v>
      </c>
      <c r="S137" t="inlineStr">
        <is>
          <t>NEUTRAL</t>
        </is>
      </c>
      <c r="T137" s="19" t="n">
        <v>17.3</v>
      </c>
      <c r="V137" t="n">
        <v>50</v>
      </c>
    </row>
    <row r="138" ht="15.75" customHeight="1" s="23">
      <c r="A138" s="10" t="inlineStr">
        <is>
          <t>HINDZINC</t>
        </is>
      </c>
      <c r="B138" s="11" t="inlineStr">
        <is>
          <t>Metals &amp; Mining</t>
        </is>
      </c>
      <c r="C138" s="12">
        <f>IFERROR(__xludf.DUMMYFUNCTION("GOOGLEFINANCE(""NSE:""&amp;$A138,""price"")"),549.6)</f>
        <v/>
      </c>
      <c r="D138" s="12">
        <f>IFERROR(__xludf.DUMMYFUNCTION("GOOGLEFINANCE(""NSE:""&amp;$A138,""priceopen"")"),548.1)</f>
        <v/>
      </c>
      <c r="E138" s="12">
        <f>IFERROR(__xludf.DUMMYFUNCTION("GOOGLEFINANCE(""NSE:""&amp;$A138,""high"")"),550.35)</f>
        <v/>
      </c>
      <c r="F138" s="12">
        <f>IFERROR(__xludf.DUMMYFUNCTION("GOOGLEFINANCE(""NSE:""&amp;$A138,""low"")"),542.45)</f>
        <v/>
      </c>
      <c r="G138" s="12">
        <f>IFERROR(__xludf.DUMMYFUNCTION("IFERROR(INDEX(GOOGLEFINANCE(""NSE:""&amp;$A138,""close"",TODAY()),2,2),C138)"),549.6)</f>
        <v/>
      </c>
      <c r="H138" s="12">
        <f>IFERROR(__xludf.DUMMYFUNCTION("GOOGLEFINANCE(""NSE:""&amp;$A138,""closeyest"")"),546.9)</f>
        <v/>
      </c>
      <c r="I138" s="12">
        <f>IFERROR(C138-H138,"")</f>
        <v/>
      </c>
      <c r="J138" s="13">
        <f>IFERROR((C138-H138)/H138,"")</f>
        <v/>
      </c>
      <c r="K138" s="17">
        <f>IFERROR(__xludf.DUMMYFUNCTION("IFERROR(GOOGLEFINANCE(""NSE:""&amp;$A138,""marketcap""),"""")"),2.322235219242E12)</f>
        <v/>
      </c>
      <c r="L138" s="15">
        <f>IFERROR(K138/SUMIF($B$2:$B$214,B138,$K$2:$K$214),"")</f>
        <v/>
      </c>
      <c r="M138" s="16">
        <f>IFERROR(K138/SUM($K$2:$K$214),"")</f>
        <v/>
      </c>
      <c r="N138" t="n">
        <v>1</v>
      </c>
      <c r="O138" t="n">
        <v>1</v>
      </c>
      <c r="P138" s="19" t="n">
        <v>59.18</v>
      </c>
      <c r="R138" s="19" t="n">
        <v>50.47</v>
      </c>
      <c r="S138" t="inlineStr">
        <is>
          <t>NEUTRAL</t>
        </is>
      </c>
      <c r="T138" s="19" t="n">
        <v>25.23</v>
      </c>
      <c r="V138" t="n">
        <v>32.49</v>
      </c>
    </row>
    <row r="139" ht="15.75" customHeight="1" s="23">
      <c r="A139" s="10" t="inlineStr">
        <is>
          <t>JINDALSTEL</t>
        </is>
      </c>
      <c r="B139" s="11" t="inlineStr">
        <is>
          <t>Metals &amp; Mining</t>
        </is>
      </c>
      <c r="C139" s="12">
        <f>IFERROR(__xludf.DUMMYFUNCTION("GOOGLEFINANCE(""NSE:""&amp;$A139,""price"")"),1031.7)</f>
        <v/>
      </c>
      <c r="D139" s="12">
        <f>IFERROR(__xludf.DUMMYFUNCTION("GOOGLEFINANCE(""NSE:""&amp;$A139,""priceopen"")"),1012.5)</f>
        <v/>
      </c>
      <c r="E139" s="12">
        <f>IFERROR(__xludf.DUMMYFUNCTION("GOOGLEFINANCE(""NSE:""&amp;$A139,""high"")"),1031.7)</f>
        <v/>
      </c>
      <c r="F139" s="12">
        <f>IFERROR(__xludf.DUMMYFUNCTION("GOOGLEFINANCE(""NSE:""&amp;$A139,""low"")"),1003.5)</f>
        <v/>
      </c>
      <c r="G139" s="12">
        <f>IFERROR(__xludf.DUMMYFUNCTION("IFERROR(INDEX(GOOGLEFINANCE(""NSE:""&amp;$A139,""close"",TODAY()),2,2),C139)"),1031.7)</f>
        <v/>
      </c>
      <c r="H139" s="12">
        <f>IFERROR(__xludf.DUMMYFUNCTION("GOOGLEFINANCE(""NSE:""&amp;$A139,""closeyest"")"),1012.5)</f>
        <v/>
      </c>
      <c r="I139" s="12">
        <f>IFERROR(C139-H139,"")</f>
        <v/>
      </c>
      <c r="J139" s="13">
        <f>IFERROR((C139-H139)/H139,"")</f>
        <v/>
      </c>
      <c r="K139" s="17">
        <f>IFERROR(__xludf.DUMMYFUNCTION("IFERROR(GOOGLEFINANCE(""NSE:""&amp;$A139,""marketcap""),"""")"),1.04237370525E12)</f>
        <v/>
      </c>
      <c r="L139" s="15">
        <f>IFERROR(K139/SUMIF($B$2:$B$214,B139,$K$2:$K$214),"")</f>
        <v/>
      </c>
      <c r="M139" s="16">
        <f>IFERROR(K139/SUM($K$2:$K$214),"")</f>
        <v/>
      </c>
      <c r="N139" t="n">
        <v>0</v>
      </c>
      <c r="O139" t="n">
        <v>2</v>
      </c>
      <c r="P139" s="19" t="n">
        <v>54.07</v>
      </c>
      <c r="R139" s="19" t="n">
        <v>47.85</v>
      </c>
      <c r="S139" t="inlineStr">
        <is>
          <t>NEUTRAL</t>
        </is>
      </c>
      <c r="T139" s="19" t="n">
        <v>17.05</v>
      </c>
      <c r="V139" t="n">
        <v>65.90000000000001</v>
      </c>
    </row>
    <row r="140" ht="15.75" customHeight="1" s="23">
      <c r="A140" s="10" t="inlineStr">
        <is>
          <t>JSWSTEEL</t>
        </is>
      </c>
      <c r="B140" s="11" t="inlineStr">
        <is>
          <t>Metals &amp; Mining</t>
        </is>
      </c>
      <c r="C140" s="12">
        <f>IFERROR(__xludf.DUMMYFUNCTION("GOOGLEFINANCE(""NSE:""&amp;$A140,""price"")"),1176.6)</f>
        <v/>
      </c>
      <c r="D140" s="12">
        <f>IFERROR(__xludf.DUMMYFUNCTION("GOOGLEFINANCE(""NSE:""&amp;$A140,""priceopen"")"),1172.0)</f>
        <v/>
      </c>
      <c r="E140" s="12">
        <f>IFERROR(__xludf.DUMMYFUNCTION("GOOGLEFINANCE(""NSE:""&amp;$A140,""high"")"),1179.1)</f>
        <v/>
      </c>
      <c r="F140" s="12">
        <f>IFERROR(__xludf.DUMMYFUNCTION("GOOGLEFINANCE(""NSE:""&amp;$A140,""low"")"),1165.0)</f>
        <v/>
      </c>
      <c r="G140" s="12">
        <f>IFERROR(__xludf.DUMMYFUNCTION("IFERROR(INDEX(GOOGLEFINANCE(""NSE:""&amp;$A140,""close"",TODAY()),2,2),C140)"),1176.6)</f>
        <v/>
      </c>
      <c r="H140" s="12">
        <f>IFERROR(__xludf.DUMMYFUNCTION("GOOGLEFINANCE(""NSE:""&amp;$A140,""closeyest"")"),1173.0)</f>
        <v/>
      </c>
      <c r="I140" s="12">
        <f>IFERROR(C140-H140,"")</f>
        <v/>
      </c>
      <c r="J140" s="13">
        <f>IFERROR((C140-H140)/H140,"")</f>
        <v/>
      </c>
      <c r="K140" s="17">
        <f>IFERROR(__xludf.DUMMYFUNCTION("IFERROR(GOOGLEFINANCE(""NSE:""&amp;$A140,""marketcap""),"""")"),2.879642772E12)</f>
        <v/>
      </c>
      <c r="L140" s="15">
        <f>IFERROR(K140/SUMIF($B$2:$B$214,B140,$K$2:$K$214),"")</f>
        <v/>
      </c>
      <c r="M140" s="16">
        <f>IFERROR(K140/SUM($K$2:$K$214),"")</f>
        <v/>
      </c>
      <c r="N140" t="n">
        <v>2</v>
      </c>
      <c r="O140" t="n">
        <v>2</v>
      </c>
      <c r="P140" s="19" t="n">
        <v>58.69</v>
      </c>
      <c r="R140" s="19" t="n">
        <v>40.49</v>
      </c>
      <c r="S140" t="inlineStr">
        <is>
          <t>NEUTRAL</t>
        </is>
      </c>
      <c r="T140" s="19" t="n">
        <v>21.88</v>
      </c>
      <c r="V140" t="n">
        <v>54.23</v>
      </c>
    </row>
    <row r="141" ht="15.75" customHeight="1" s="23">
      <c r="A141" s="10" t="inlineStr">
        <is>
          <t>NATIONALUM</t>
        </is>
      </c>
      <c r="B141" s="11" t="inlineStr">
        <is>
          <t>Metals &amp; Mining</t>
        </is>
      </c>
      <c r="C141" s="12">
        <f>IFERROR(__xludf.DUMMYFUNCTION("GOOGLEFINANCE(""NSE:""&amp;$A141,""price"")"),321.0)</f>
        <v/>
      </c>
      <c r="D141" s="12">
        <f>IFERROR(__xludf.DUMMYFUNCTION("GOOGLEFINANCE(""NSE:""&amp;$A141,""priceopen"")"),314.0)</f>
        <v/>
      </c>
      <c r="E141" s="12">
        <f>IFERROR(__xludf.DUMMYFUNCTION("GOOGLEFINANCE(""NSE:""&amp;$A141,""high"")"),321.0)</f>
        <v/>
      </c>
      <c r="F141" s="12">
        <f>IFERROR(__xludf.DUMMYFUNCTION("GOOGLEFINANCE(""NSE:""&amp;$A141,""low"")"),310.8)</f>
        <v/>
      </c>
      <c r="G141" s="12">
        <f>IFERROR(__xludf.DUMMYFUNCTION("IFERROR(INDEX(GOOGLEFINANCE(""NSE:""&amp;$A141,""close"",TODAY()),2,2),C141)"),321.0)</f>
        <v/>
      </c>
      <c r="H141" s="12">
        <f>IFERROR(__xludf.DUMMYFUNCTION("GOOGLEFINANCE(""NSE:""&amp;$A141,""closeyest"")"),310.8)</f>
        <v/>
      </c>
      <c r="I141" s="12">
        <f>IFERROR(C141-H141,"")</f>
        <v/>
      </c>
      <c r="J141" s="13">
        <f>IFERROR((C141-H141)/H141,"")</f>
        <v/>
      </c>
      <c r="K141" s="17">
        <f>IFERROR(__xludf.DUMMYFUNCTION("IFERROR(GOOGLEFINANCE(""NSE:""&amp;$A141,""marketcap""),"""")"),5.8772192E11)</f>
        <v/>
      </c>
      <c r="L141" s="15">
        <f>IFERROR(K141/SUMIF($B$2:$B$214,B141,$K$2:$K$214),"")</f>
        <v/>
      </c>
      <c r="M141" s="16">
        <f>IFERROR(K141/SUM($K$2:$K$214),"")</f>
        <v/>
      </c>
      <c r="N141" t="n">
        <v>0</v>
      </c>
      <c r="O141" t="n">
        <v>2</v>
      </c>
      <c r="P141" s="19" t="n">
        <v>65.05</v>
      </c>
      <c r="R141" s="19" t="n">
        <v>41.61</v>
      </c>
      <c r="S141" t="inlineStr">
        <is>
          <t>NEUTRAL</t>
        </is>
      </c>
      <c r="T141" s="19" t="n">
        <v>25.25</v>
      </c>
      <c r="V141" t="n">
        <v>79.76000000000001</v>
      </c>
    </row>
    <row r="142" ht="15.75" customHeight="1" s="23">
      <c r="A142" s="10" t="inlineStr">
        <is>
          <t>NMDC</t>
        </is>
      </c>
      <c r="B142" s="11" t="inlineStr">
        <is>
          <t>Metals &amp; Mining</t>
        </is>
      </c>
      <c r="C142" s="12">
        <f>IFERROR(__xludf.DUMMYFUNCTION("GOOGLEFINANCE(""NSE:""&amp;$A142,""price"")"),71.34)</f>
        <v/>
      </c>
      <c r="D142" s="12">
        <f>IFERROR(__xludf.DUMMYFUNCTION("GOOGLEFINANCE(""NSE:""&amp;$A142,""priceopen"")"),70.71)</f>
        <v/>
      </c>
      <c r="E142" s="12">
        <f>IFERROR(__xludf.DUMMYFUNCTION("GOOGLEFINANCE(""NSE:""&amp;$A142,""high"")"),71.6)</f>
        <v/>
      </c>
      <c r="F142" s="12">
        <f>IFERROR(__xludf.DUMMYFUNCTION("GOOGLEFINANCE(""NSE:""&amp;$A142,""low"")"),70.29)</f>
        <v/>
      </c>
      <c r="G142" s="12">
        <f>IFERROR(__xludf.DUMMYFUNCTION("IFERROR(INDEX(GOOGLEFINANCE(""NSE:""&amp;$A142,""close"",TODAY()),2,2),C142)"),71.34)</f>
        <v/>
      </c>
      <c r="H142" s="12">
        <f>IFERROR(__xludf.DUMMYFUNCTION("GOOGLEFINANCE(""NSE:""&amp;$A142,""closeyest"")"),70.34)</f>
        <v/>
      </c>
      <c r="I142" s="12">
        <f>IFERROR(C142-H142,"")</f>
        <v/>
      </c>
      <c r="J142" s="13">
        <f>IFERROR((C142-H142)/H142,"")</f>
        <v/>
      </c>
      <c r="K142" s="17">
        <f>IFERROR(__xludf.DUMMYFUNCTION("IFERROR(GOOGLEFINANCE(""NSE:""&amp;$A142,""marketcap""),"""")"),6.28585063552E11)</f>
        <v/>
      </c>
      <c r="L142" s="15">
        <f>IFERROR(K142/SUMIF($B$2:$B$214,B142,$K$2:$K$214),"")</f>
        <v/>
      </c>
      <c r="M142" s="16">
        <f>IFERROR(K142/SUM($K$2:$K$214),"")</f>
        <v/>
      </c>
      <c r="N142" t="n">
        <v>0</v>
      </c>
      <c r="O142" t="n">
        <v>3</v>
      </c>
      <c r="P142" s="19" t="n">
        <v>53.9</v>
      </c>
      <c r="R142" s="19" t="n">
        <v>21.68</v>
      </c>
      <c r="S142" t="inlineStr">
        <is>
          <t>NEUTRAL</t>
        </is>
      </c>
      <c r="T142" s="19" t="n">
        <v>18.36</v>
      </c>
      <c r="V142" t="n">
        <v>62.85</v>
      </c>
    </row>
    <row r="143" ht="15.75" customHeight="1" s="23">
      <c r="A143" s="10" t="inlineStr">
        <is>
          <t>SAIL</t>
        </is>
      </c>
      <c r="B143" s="11" t="inlineStr">
        <is>
          <t>Metals &amp; Mining</t>
        </is>
      </c>
      <c r="C143" s="12">
        <f>IFERROR(__xludf.DUMMYFUNCTION("GOOGLEFINANCE(""NSE:""&amp;$A143,""price"")"),172.77)</f>
        <v/>
      </c>
      <c r="D143" s="12">
        <f>IFERROR(__xludf.DUMMYFUNCTION("GOOGLEFINANCE(""NSE:""&amp;$A143,""priceopen"")"),170.34)</f>
        <v/>
      </c>
      <c r="E143" s="12">
        <f>IFERROR(__xludf.DUMMYFUNCTION("GOOGLEFINANCE(""NSE:""&amp;$A143,""high"")"),174.0)</f>
        <v/>
      </c>
      <c r="F143" s="12">
        <f>IFERROR(__xludf.DUMMYFUNCTION("GOOGLEFINANCE(""NSE:""&amp;$A143,""low"")"),169.78)</f>
        <v/>
      </c>
      <c r="G143" s="12">
        <f>IFERROR(__xludf.DUMMYFUNCTION("IFERROR(INDEX(GOOGLEFINANCE(""NSE:""&amp;$A143,""close"",TODAY()),2,2),C143)"),172.77)</f>
        <v/>
      </c>
      <c r="H143" s="12">
        <f>IFERROR(__xludf.DUMMYFUNCTION("GOOGLEFINANCE(""NSE:""&amp;$A143,""closeyest"")"),171.0)</f>
        <v/>
      </c>
      <c r="I143" s="12">
        <f>IFERROR(C143-H143,"")</f>
        <v/>
      </c>
      <c r="J143" s="13">
        <f>IFERROR((C143-H143)/H143,"")</f>
        <v/>
      </c>
      <c r="K143" s="17">
        <f>IFERROR(__xludf.DUMMYFUNCTION("IFERROR(GOOGLEFINANCE(""NSE:""&amp;$A143,""marketcap""),"""")"),7.13631007803E11)</f>
        <v/>
      </c>
      <c r="L143" s="15">
        <f>IFERROR(K143/SUMIF($B$2:$B$214,B143,$K$2:$K$214),"")</f>
        <v/>
      </c>
      <c r="M143" s="16">
        <f>IFERROR(K143/SUM($K$2:$K$214),"")</f>
        <v/>
      </c>
      <c r="N143" t="n">
        <v>1</v>
      </c>
      <c r="O143" t="n">
        <v>1</v>
      </c>
      <c r="P143" s="19" t="n">
        <v>63.51</v>
      </c>
      <c r="R143" s="19" t="n">
        <v>52.09</v>
      </c>
      <c r="S143" t="inlineStr">
        <is>
          <t>NEUTRAL</t>
        </is>
      </c>
      <c r="T143" s="19" t="n">
        <v>33.86</v>
      </c>
      <c r="V143" t="n">
        <v>43.46</v>
      </c>
    </row>
    <row r="144" ht="15.75" customHeight="1" s="23">
      <c r="A144" s="10" t="inlineStr">
        <is>
          <t>TATASTEEL</t>
        </is>
      </c>
      <c r="B144" s="11" t="inlineStr">
        <is>
          <t>Metals &amp; Mining</t>
        </is>
      </c>
      <c r="C144" s="12">
        <f>IFERROR(__xludf.DUMMYFUNCTION("GOOGLEFINANCE(""NSE:""&amp;$A144,""price"")"),175.0)</f>
        <v/>
      </c>
      <c r="D144" s="12">
        <f>IFERROR(__xludf.DUMMYFUNCTION("GOOGLEFINANCE(""NSE:""&amp;$A144,""priceopen"")"),172.35)</f>
        <v/>
      </c>
      <c r="E144" s="12">
        <f>IFERROR(__xludf.DUMMYFUNCTION("GOOGLEFINANCE(""NSE:""&amp;$A144,""high"")"),175.0)</f>
        <v/>
      </c>
      <c r="F144" s="12">
        <f>IFERROR(__xludf.DUMMYFUNCTION("GOOGLEFINANCE(""NSE:""&amp;$A144,""low"")"),171.66)</f>
        <v/>
      </c>
      <c r="G144" s="12">
        <f>IFERROR(__xludf.DUMMYFUNCTION("IFERROR(INDEX(GOOGLEFINANCE(""NSE:""&amp;$A144,""close"",TODAY()),2,2),C144)"),175.0)</f>
        <v/>
      </c>
      <c r="H144" s="12">
        <f>IFERROR(__xludf.DUMMYFUNCTION("GOOGLEFINANCE(""NSE:""&amp;$A144,""closeyest"")"),172.24)</f>
        <v/>
      </c>
      <c r="I144" s="12">
        <f>IFERROR(C144-H144,"")</f>
        <v/>
      </c>
      <c r="J144" s="13">
        <f>IFERROR((C144-H144)/H144,"")</f>
        <v/>
      </c>
      <c r="K144" s="17">
        <f>IFERROR(__xludf.DUMMYFUNCTION("IFERROR(GOOGLEFINANCE(""NSE:""&amp;$A144,""marketcap""),"""")"),2.180245479914E12)</f>
        <v/>
      </c>
      <c r="L144" s="15">
        <f>IFERROR(K144/SUMIF($B$2:$B$214,B144,$K$2:$K$214),"")</f>
        <v/>
      </c>
      <c r="M144" s="16">
        <f>IFERROR(K144/SUM($K$2:$K$214),"")</f>
        <v/>
      </c>
      <c r="N144" t="n">
        <v>0</v>
      </c>
      <c r="O144" t="n">
        <v>3</v>
      </c>
      <c r="P144" s="19" t="n">
        <v>57.19</v>
      </c>
      <c r="R144" s="19" t="n">
        <v>34.43</v>
      </c>
      <c r="S144" t="inlineStr">
        <is>
          <t>NEUTRAL</t>
        </is>
      </c>
      <c r="T144" s="19" t="n">
        <v>23.06</v>
      </c>
      <c r="V144" t="n">
        <v>69.7</v>
      </c>
    </row>
    <row r="145" ht="15.75" customHeight="1" s="23">
      <c r="A145" s="10" t="inlineStr">
        <is>
          <t>VEDL</t>
        </is>
      </c>
      <c r="B145" s="11" t="inlineStr">
        <is>
          <t>Metals &amp; Mining</t>
        </is>
      </c>
      <c r="C145" s="12">
        <f>IFERROR(__xludf.DUMMYFUNCTION("GOOGLEFINANCE(""NSE:""&amp;$A145,""price"")"),256.3)</f>
        <v/>
      </c>
      <c r="D145" s="12">
        <f>IFERROR(__xludf.DUMMYFUNCTION("GOOGLEFINANCE(""NSE:""&amp;$A145,""priceopen"")"),263.1)</f>
        <v/>
      </c>
      <c r="E145" s="12">
        <f>IFERROR(__xludf.DUMMYFUNCTION("GOOGLEFINANCE(""NSE:""&amp;$A145,""high"")"),264.0)</f>
        <v/>
      </c>
      <c r="F145" s="12">
        <f>IFERROR(__xludf.DUMMYFUNCTION("GOOGLEFINANCE(""NSE:""&amp;$A145,""low"")"),253.6)</f>
        <v/>
      </c>
      <c r="G145" s="12">
        <f>IFERROR(__xludf.DUMMYFUNCTION("IFERROR(INDEX(GOOGLEFINANCE(""NSE:""&amp;$A145,""close"",TODAY()),2,2),C145)"),256.3)</f>
        <v/>
      </c>
      <c r="H145" s="12">
        <f>IFERROR(__xludf.DUMMYFUNCTION("GOOGLEFINANCE(""NSE:""&amp;$A145,""closeyest"")"),264.9)</f>
        <v/>
      </c>
      <c r="I145" s="12">
        <f>IFERROR(C145-H145,"")</f>
        <v/>
      </c>
      <c r="J145" s="13">
        <f>IFERROR((C145-H145)/H145,"")</f>
        <v/>
      </c>
      <c r="K145" s="17">
        <f>IFERROR(__xludf.DUMMYFUNCTION("IFERROR(GOOGLEFINANCE(""NSE:""&amp;$A145,""marketcap""),"""")"),9.54962913E11)</f>
        <v/>
      </c>
      <c r="L145" s="15">
        <f>IFERROR(K145/SUMIF($B$2:$B$214,B145,$K$2:$K$214),"")</f>
        <v/>
      </c>
      <c r="M145" s="16">
        <f>IFERROR(K145/SUM($K$2:$K$214),"")</f>
        <v/>
      </c>
      <c r="N145" t="n">
        <v>2</v>
      </c>
      <c r="O145" t="n">
        <v>1</v>
      </c>
      <c r="P145" s="19" t="n">
        <v>41.51</v>
      </c>
      <c r="R145" s="19" t="n">
        <v>43.84</v>
      </c>
      <c r="S145" t="inlineStr">
        <is>
          <t>NEUTRAL</t>
        </is>
      </c>
      <c r="T145" s="19" t="n">
        <v>38.34</v>
      </c>
      <c r="V145" t="n">
        <v>10.99</v>
      </c>
    </row>
    <row r="146" ht="15.75" customHeight="1" s="23">
      <c r="A146" s="10" t="inlineStr">
        <is>
          <t>ABCAPITAL</t>
        </is>
      </c>
      <c r="B146" s="11" t="inlineStr">
        <is>
          <t>NBFC &amp; Financial Services</t>
        </is>
      </c>
      <c r="C146" s="12">
        <f>IFERROR(__xludf.DUMMYFUNCTION("GOOGLEFINANCE(""NSE:""&amp;$A146,""price"")"),384.65)</f>
        <v/>
      </c>
      <c r="D146" s="12">
        <f>IFERROR(__xludf.DUMMYFUNCTION("GOOGLEFINANCE(""NSE:""&amp;$A146,""priceopen"")"),380.0)</f>
        <v/>
      </c>
      <c r="E146" s="12">
        <f>IFERROR(__xludf.DUMMYFUNCTION("GOOGLEFINANCE(""NSE:""&amp;$A146,""high"")"),384.9)</f>
        <v/>
      </c>
      <c r="F146" s="12">
        <f>IFERROR(__xludf.DUMMYFUNCTION("GOOGLEFINANCE(""NSE:""&amp;$A146,""low"")"),377.05)</f>
        <v/>
      </c>
      <c r="G146" s="12">
        <f>IFERROR(__xludf.DUMMYFUNCTION("IFERROR(INDEX(GOOGLEFINANCE(""NSE:""&amp;$A146,""close"",TODAY()),2,2),C146)"),384.65)</f>
        <v/>
      </c>
      <c r="H146" s="12">
        <f>IFERROR(__xludf.DUMMYFUNCTION("GOOGLEFINANCE(""NSE:""&amp;$A146,""closeyest"")"),380.25)</f>
        <v/>
      </c>
      <c r="I146" s="12">
        <f>IFERROR(C146-H146,"")</f>
        <v/>
      </c>
      <c r="J146" s="13">
        <f>IFERROR((C146-H146)/H146,"")</f>
        <v/>
      </c>
      <c r="K146" s="17">
        <f>IFERROR(__xludf.DUMMYFUNCTION("IFERROR(GOOGLEFINANCE(""NSE:""&amp;$A146,""marketcap""),"""")"),1.002730629E12)</f>
        <v/>
      </c>
      <c r="L146" s="15">
        <f>IFERROR(K146/SUMIF($B$2:$B$214,B146,$K$2:$K$214),"")</f>
        <v/>
      </c>
      <c r="M146" s="16">
        <f>IFERROR(K146/SUM($K$2:$K$214),"")</f>
        <v/>
      </c>
      <c r="N146" t="n">
        <v>0</v>
      </c>
      <c r="O146" t="n">
        <v>3</v>
      </c>
      <c r="P146" s="19" t="n">
        <v>66.68000000000001</v>
      </c>
      <c r="R146" s="19" t="n">
        <v>38.07</v>
      </c>
      <c r="S146" t="inlineStr">
        <is>
          <t>NEUTRAL</t>
        </is>
      </c>
      <c r="T146" s="19" t="n">
        <v>33.02</v>
      </c>
      <c r="V146" t="n">
        <v>45.74</v>
      </c>
    </row>
    <row r="147" ht="15.75" customHeight="1" s="23">
      <c r="A147" s="10" t="inlineStr">
        <is>
          <t>BAJAJFINSV</t>
        </is>
      </c>
      <c r="B147" s="11" t="inlineStr">
        <is>
          <t>NBFC &amp; Financial Services</t>
        </is>
      </c>
      <c r="C147" s="12">
        <f>IFERROR(__xludf.DUMMYFUNCTION("GOOGLEFINANCE(""NSE:""&amp;$A147,""price"")"),1755.7)</f>
        <v/>
      </c>
      <c r="D147" s="12">
        <f>IFERROR(__xludf.DUMMYFUNCTION("GOOGLEFINANCE(""NSE:""&amp;$A147,""priceopen"")"),1717.1)</f>
        <v/>
      </c>
      <c r="E147" s="12">
        <f>IFERROR(__xludf.DUMMYFUNCTION("GOOGLEFINANCE(""NSE:""&amp;$A147,""high"")"),1757.9)</f>
        <v/>
      </c>
      <c r="F147" s="12">
        <f>IFERROR(__xludf.DUMMYFUNCTION("GOOGLEFINANCE(""NSE:""&amp;$A147,""low"")"),1707.3)</f>
        <v/>
      </c>
      <c r="G147" s="12">
        <f>IFERROR(__xludf.DUMMYFUNCTION("IFERROR(INDEX(GOOGLEFINANCE(""NSE:""&amp;$A147,""close"",TODAY()),2,2),C147)"),1755.7)</f>
        <v/>
      </c>
      <c r="H147" s="12">
        <f>IFERROR(__xludf.DUMMYFUNCTION("GOOGLEFINANCE(""NSE:""&amp;$A147,""closeyest"")"),1719.9)</f>
        <v/>
      </c>
      <c r="I147" s="12">
        <f>IFERROR(C147-H147,"")</f>
        <v/>
      </c>
      <c r="J147" s="13">
        <f>IFERROR((C147-H147)/H147,"")</f>
        <v/>
      </c>
      <c r="K147" s="17">
        <f>IFERROR(__xludf.DUMMYFUNCTION("IFERROR(GOOGLEFINANCE(""NSE:""&amp;$A147,""marketcap""),"""")"),2.802479864659E12)</f>
        <v/>
      </c>
      <c r="L147" s="15">
        <f>IFERROR(K147/SUMIF($B$2:$B$214,B147,$K$2:$K$214),"")</f>
        <v/>
      </c>
      <c r="M147" s="16">
        <f>IFERROR(K147/SUM($K$2:$K$214),"")</f>
        <v/>
      </c>
      <c r="N147" t="n">
        <v>0</v>
      </c>
      <c r="O147" t="n">
        <v>3</v>
      </c>
      <c r="P147" s="19" t="n">
        <v>43.37</v>
      </c>
      <c r="R147" s="19" t="n">
        <v>33.73</v>
      </c>
      <c r="S147" t="inlineStr">
        <is>
          <t>NEUTRAL</t>
        </is>
      </c>
      <c r="T147" s="19" t="n">
        <v>29.87</v>
      </c>
      <c r="V147" t="n">
        <v>46.55</v>
      </c>
    </row>
    <row r="148" ht="15.75" customHeight="1" s="23">
      <c r="A148" s="10" t="inlineStr">
        <is>
          <t>BAJAJHLDNG</t>
        </is>
      </c>
      <c r="B148" s="11" t="inlineStr">
        <is>
          <t>NBFC &amp; Financial Services</t>
        </is>
      </c>
      <c r="C148" s="12">
        <f>IFERROR(__xludf.DUMMYFUNCTION("GOOGLEFINANCE(""NSE:""&amp;$A148,""price"")"),10808.0)</f>
        <v/>
      </c>
      <c r="D148" s="12">
        <f>IFERROR(__xludf.DUMMYFUNCTION("GOOGLEFINANCE(""NSE:""&amp;$A148,""priceopen"")"),10750.0)</f>
        <v/>
      </c>
      <c r="E148" s="12">
        <f>IFERROR(__xludf.DUMMYFUNCTION("GOOGLEFINANCE(""NSE:""&amp;$A148,""high"")"),10808.0)</f>
        <v/>
      </c>
      <c r="F148" s="12">
        <f>IFERROR(__xludf.DUMMYFUNCTION("GOOGLEFINANCE(""NSE:""&amp;$A148,""low"")"),10554.0)</f>
        <v/>
      </c>
      <c r="G148" s="12">
        <f>IFERROR(__xludf.DUMMYFUNCTION("IFERROR(INDEX(GOOGLEFINANCE(""NSE:""&amp;$A148,""close"",TODAY()),2,2),C148)"),10808.0)</f>
        <v/>
      </c>
      <c r="H148" s="12">
        <f>IFERROR(__xludf.DUMMYFUNCTION("GOOGLEFINANCE(""NSE:""&amp;$A148,""closeyest"")"),10750.0)</f>
        <v/>
      </c>
      <c r="I148" s="12">
        <f>IFERROR(C148-H148,"")</f>
        <v/>
      </c>
      <c r="J148" s="13">
        <f>IFERROR((C148-H148)/H148,"")</f>
        <v/>
      </c>
      <c r="K148" s="17">
        <f>IFERROR(__xludf.DUMMYFUNCTION("IFERROR(GOOGLEFINANCE(""NSE:""&amp;$A148,""marketcap""),"""")"),1.200821562253E12)</f>
        <v/>
      </c>
      <c r="L148" s="15">
        <f>IFERROR(K148/SUMIF($B$2:$B$214,B148,$K$2:$K$214),"")</f>
        <v/>
      </c>
      <c r="M148" s="16">
        <f>IFERROR(K148/SUM($K$2:$K$214),"")</f>
        <v/>
      </c>
      <c r="N148" t="n">
        <v>1</v>
      </c>
      <c r="O148" t="n">
        <v>1</v>
      </c>
      <c r="P148" s="19" t="n">
        <v>39.07</v>
      </c>
      <c r="R148" s="19" t="n">
        <v>53.28</v>
      </c>
      <c r="S148" t="inlineStr">
        <is>
          <t>NEUTRAL</t>
        </is>
      </c>
      <c r="T148" s="19" t="n">
        <v>32.32</v>
      </c>
      <c r="V148" t="n">
        <v>56.62</v>
      </c>
    </row>
    <row r="149" ht="15.75" customHeight="1" s="23">
      <c r="A149" s="10" t="inlineStr">
        <is>
          <t>BAJFINANCE</t>
        </is>
      </c>
      <c r="B149" s="11" t="inlineStr">
        <is>
          <t>NBFC &amp; Financial Services</t>
        </is>
      </c>
      <c r="C149" s="12">
        <f>IFERROR(__xludf.DUMMYFUNCTION("GOOGLEFINANCE(""NSE:""&amp;$A149,""price"")"),982.75)</f>
        <v/>
      </c>
      <c r="D149" s="12">
        <f>IFERROR(__xludf.DUMMYFUNCTION("GOOGLEFINANCE(""NSE:""&amp;$A149,""priceopen"")"),946.6)</f>
        <v/>
      </c>
      <c r="E149" s="12">
        <f>IFERROR(__xludf.DUMMYFUNCTION("GOOGLEFINANCE(""NSE:""&amp;$A149,""high"")"),986.5)</f>
        <v/>
      </c>
      <c r="F149" s="12">
        <f>IFERROR(__xludf.DUMMYFUNCTION("GOOGLEFINANCE(""NSE:""&amp;$A149,""low"")"),946.1)</f>
        <v/>
      </c>
      <c r="G149" s="12">
        <f>IFERROR(__xludf.DUMMYFUNCTION("IFERROR(INDEX(GOOGLEFINANCE(""NSE:""&amp;$A149,""close"",TODAY()),2,2),C149)"),982.75)</f>
        <v/>
      </c>
      <c r="H149" s="12">
        <f>IFERROR(__xludf.DUMMYFUNCTION("GOOGLEFINANCE(""NSE:""&amp;$A149,""closeyest"")"),957.25)</f>
        <v/>
      </c>
      <c r="I149" s="12">
        <f>IFERROR(C149-H149,"")</f>
        <v/>
      </c>
      <c r="J149" s="13">
        <f>IFERROR((C149-H149)/H149,"")</f>
        <v/>
      </c>
      <c r="K149" s="17">
        <f>IFERROR(__xludf.DUMMYFUNCTION("IFERROR(GOOGLEFINANCE(""NSE:""&amp;$A149,""marketcap""),"""")"),6.10454623363E11)</f>
        <v/>
      </c>
      <c r="L149" s="15">
        <f>IFERROR(K149/SUMIF($B$2:$B$214,B149,$K$2:$K$214),"")</f>
        <v/>
      </c>
      <c r="M149" s="16">
        <f>IFERROR(K149/SUM($K$2:$K$214),"")</f>
        <v/>
      </c>
      <c r="N149" t="n">
        <v>0</v>
      </c>
      <c r="O149" t="n">
        <v>2</v>
      </c>
      <c r="P149" s="19" t="n">
        <v>53.77</v>
      </c>
      <c r="R149" s="19" t="n">
        <v>43.11</v>
      </c>
      <c r="S149" t="inlineStr">
        <is>
          <t>NEUTRAL</t>
        </is>
      </c>
      <c r="T149" s="19" t="n">
        <v>30.41</v>
      </c>
      <c r="V149" t="n">
        <v>49.83</v>
      </c>
    </row>
    <row r="150" ht="15.75" customHeight="1" s="23">
      <c r="A150" s="10" t="inlineStr">
        <is>
          <t>CHOLAFIN</t>
        </is>
      </c>
      <c r="B150" s="11" t="inlineStr">
        <is>
          <t>NBFC &amp; Financial Services</t>
        </is>
      </c>
      <c r="C150" s="12">
        <f>IFERROR(__xludf.DUMMYFUNCTION("GOOGLEFINANCE(""NSE:""&amp;$A150,""price"")"),1620.7)</f>
        <v/>
      </c>
      <c r="D150" s="12">
        <f>IFERROR(__xludf.DUMMYFUNCTION("GOOGLEFINANCE(""NSE:""&amp;$A150,""priceopen"")"),1583.0)</f>
        <v/>
      </c>
      <c r="E150" s="12">
        <f>IFERROR(__xludf.DUMMYFUNCTION("GOOGLEFINANCE(""NSE:""&amp;$A150,""high"")"),1621.7)</f>
        <v/>
      </c>
      <c r="F150" s="12">
        <f>IFERROR(__xludf.DUMMYFUNCTION("GOOGLEFINANCE(""NSE:""&amp;$A150,""low"")"),1572.3)</f>
        <v/>
      </c>
      <c r="G150" s="12">
        <f>IFERROR(__xludf.DUMMYFUNCTION("IFERROR(INDEX(GOOGLEFINANCE(""NSE:""&amp;$A150,""close"",TODAY()),2,2),C150)"),1620.7)</f>
        <v/>
      </c>
      <c r="H150" s="12">
        <f>IFERROR(__xludf.DUMMYFUNCTION("GOOGLEFINANCE(""NSE:""&amp;$A150,""closeyest"")"),1580.7)</f>
        <v/>
      </c>
      <c r="I150" s="12">
        <f>IFERROR(C150-H150,"")</f>
        <v/>
      </c>
      <c r="J150" s="13">
        <f>IFERROR((C150-H150)/H150,"")</f>
        <v/>
      </c>
      <c r="K150" s="17">
        <f>IFERROR(__xludf.DUMMYFUNCTION("IFERROR(GOOGLEFINANCE(""NSE:""&amp;$A150,""marketcap""),"""")"),1.384728955541E12)</f>
        <v/>
      </c>
      <c r="L150" s="15">
        <f>IFERROR(K150/SUMIF($B$2:$B$214,B150,$K$2:$K$214),"")</f>
        <v/>
      </c>
      <c r="M150" s="16">
        <f>IFERROR(K150/SUM($K$2:$K$214),"")</f>
        <v/>
      </c>
      <c r="N150" t="n">
        <v>0</v>
      </c>
      <c r="O150" t="n">
        <v>3</v>
      </c>
      <c r="P150" s="19" t="n">
        <v>54.13</v>
      </c>
      <c r="R150" s="19" t="n">
        <v>30.09</v>
      </c>
      <c r="S150" t="inlineStr">
        <is>
          <t>NEUTRAL</t>
        </is>
      </c>
      <c r="T150" s="19" t="n">
        <v>26.03</v>
      </c>
      <c r="V150" t="n">
        <v>43.04</v>
      </c>
    </row>
    <row r="151" ht="15.75" customHeight="1" s="23">
      <c r="A151" s="10" t="inlineStr">
        <is>
          <t>IREDA</t>
        </is>
      </c>
      <c r="B151" s="11" t="inlineStr">
        <is>
          <t>NBFC &amp; Financial Services</t>
        </is>
      </c>
      <c r="C151" s="12">
        <f>IFERROR(__xludf.DUMMYFUNCTION("GOOGLEFINANCE(""NSE:""&amp;$A151,""price"")"),108.39)</f>
        <v/>
      </c>
      <c r="D151" s="12">
        <f>IFERROR(__xludf.DUMMYFUNCTION("GOOGLEFINANCE(""NSE:""&amp;$A151,""priceopen"")"),104.7)</f>
        <v/>
      </c>
      <c r="E151" s="12">
        <f>IFERROR(__xludf.DUMMYFUNCTION("GOOGLEFINANCE(""NSE:""&amp;$A151,""high"")"),108.39)</f>
        <v/>
      </c>
      <c r="F151" s="12">
        <f>IFERROR(__xludf.DUMMYFUNCTION("GOOGLEFINANCE(""NSE:""&amp;$A151,""low"")"),104.69)</f>
        <v/>
      </c>
      <c r="G151" s="12">
        <f>IFERROR(__xludf.DUMMYFUNCTION("IFERROR(INDEX(GOOGLEFINANCE(""NSE:""&amp;$A151,""close"",TODAY()),2,2),C151)"),108.39)</f>
        <v/>
      </c>
      <c r="H151" s="12">
        <f>IFERROR(__xludf.DUMMYFUNCTION("GOOGLEFINANCE(""NSE:""&amp;$A151,""closeyest"")"),104.6)</f>
        <v/>
      </c>
      <c r="I151" s="12">
        <f>IFERROR(C151-H151,"")</f>
        <v/>
      </c>
      <c r="J151" s="13">
        <f>IFERROR((C151-H151)/H151,"")</f>
        <v/>
      </c>
      <c r="K151" s="17">
        <f>IFERROR(__xludf.DUMMYFUNCTION("IFERROR(GOOGLEFINANCE(""NSE:""&amp;$A151,""marketcap""),"""")"),2.90967773E11)</f>
        <v/>
      </c>
      <c r="L151" s="15">
        <f>IFERROR(K151/SUMIF($B$2:$B$214,B151,$K$2:$K$214),"")</f>
        <v/>
      </c>
      <c r="M151" s="16">
        <f>IFERROR(K151/SUM($K$2:$K$214),"")</f>
        <v/>
      </c>
      <c r="N151" t="n">
        <v>2</v>
      </c>
      <c r="O151" t="n">
        <v>4</v>
      </c>
      <c r="P151" s="19" t="n">
        <v>35.68</v>
      </c>
      <c r="R151" s="19" t="n">
        <v>25.5</v>
      </c>
      <c r="S151" t="inlineStr">
        <is>
          <t>NEUTRAL</t>
        </is>
      </c>
      <c r="T151" s="19" t="n">
        <v>44.42</v>
      </c>
      <c r="V151" t="n">
        <v>74.70999999999999</v>
      </c>
    </row>
    <row r="152" ht="15.75" customHeight="1" s="23">
      <c r="A152" s="10" t="inlineStr">
        <is>
          <t>IRFC</t>
        </is>
      </c>
      <c r="B152" s="11" t="inlineStr">
        <is>
          <t>NBFC &amp; Financial Services</t>
        </is>
      </c>
      <c r="C152" s="12">
        <f>IFERROR(__xludf.DUMMYFUNCTION("GOOGLEFINANCE(""NSE:""&amp;$A152,""price"")"),79.62)</f>
        <v/>
      </c>
      <c r="D152" s="12">
        <f>IFERROR(__xludf.DUMMYFUNCTION("GOOGLEFINANCE(""NSE:""&amp;$A152,""priceopen"")"),77.83)</f>
        <v/>
      </c>
      <c r="E152" s="12">
        <f>IFERROR(__xludf.DUMMYFUNCTION("GOOGLEFINANCE(""NSE:""&amp;$A152,""high"")"),79.67)</f>
        <v/>
      </c>
      <c r="F152" s="12">
        <f>IFERROR(__xludf.DUMMYFUNCTION("GOOGLEFINANCE(""NSE:""&amp;$A152,""low"")"),77.75)</f>
        <v/>
      </c>
      <c r="G152" s="12">
        <f>IFERROR(__xludf.DUMMYFUNCTION("IFERROR(INDEX(GOOGLEFINANCE(""NSE:""&amp;$A152,""close"",TODAY()),2,2),C152)"),79.62)</f>
        <v/>
      </c>
      <c r="H152" s="12">
        <f>IFERROR(__xludf.DUMMYFUNCTION("GOOGLEFINANCE(""NSE:""&amp;$A152,""closeyest"")"),77.5)</f>
        <v/>
      </c>
      <c r="I152" s="12">
        <f>IFERROR(C152-H152,"")</f>
        <v/>
      </c>
      <c r="J152" s="13">
        <f>IFERROR((C152-H152)/H152,"")</f>
        <v/>
      </c>
      <c r="K152" s="17">
        <f>IFERROR(__xludf.DUMMYFUNCTION("IFERROR(GOOGLEFINANCE(""NSE:""&amp;$A152,""marketcap""),"""")"),1.045722840372E12)</f>
        <v/>
      </c>
      <c r="L152" s="15">
        <f>IFERROR(K152/SUMIF($B$2:$B$214,B152,$K$2:$K$214),"")</f>
        <v/>
      </c>
      <c r="M152" s="16">
        <f>IFERROR(K152/SUM($K$2:$K$214),"")</f>
        <v/>
      </c>
      <c r="N152" t="n">
        <v>2</v>
      </c>
      <c r="O152" t="n">
        <v>2</v>
      </c>
      <c r="P152" s="19" t="n">
        <v>31.42</v>
      </c>
      <c r="R152" s="19" t="n">
        <v>28.97</v>
      </c>
      <c r="S152" t="inlineStr">
        <is>
          <t>NEUTRAL</t>
        </is>
      </c>
      <c r="T152" s="19" t="n">
        <v>46.31</v>
      </c>
      <c r="V152" t="n">
        <v>72.37</v>
      </c>
    </row>
    <row r="153" ht="15.75" customHeight="1" s="23">
      <c r="A153" s="10" t="inlineStr">
        <is>
          <t>JIOFIN</t>
        </is>
      </c>
      <c r="B153" s="11" t="inlineStr">
        <is>
          <t>NBFC &amp; Financial Services</t>
        </is>
      </c>
      <c r="C153" s="12">
        <f>IFERROR(__xludf.DUMMYFUNCTION("GOOGLEFINANCE(""NSE:""&amp;$A153,""price"")"),217.8)</f>
        <v/>
      </c>
      <c r="D153" s="12">
        <f>IFERROR(__xludf.DUMMYFUNCTION("GOOGLEFINANCE(""NSE:""&amp;$A153,""priceopen"")"),213.6)</f>
        <v/>
      </c>
      <c r="E153" s="12">
        <f>IFERROR(__xludf.DUMMYFUNCTION("GOOGLEFINANCE(""NSE:""&amp;$A153,""high"")"),217.8)</f>
        <v/>
      </c>
      <c r="F153" s="12">
        <f>IFERROR(__xludf.DUMMYFUNCTION("GOOGLEFINANCE(""NSE:""&amp;$A153,""low"")"),212.73)</f>
        <v/>
      </c>
      <c r="G153" s="12">
        <f>IFERROR(__xludf.DUMMYFUNCTION("IFERROR(INDEX(GOOGLEFINANCE(""NSE:""&amp;$A153,""close"",TODAY()),2,2),C153)"),217.8)</f>
        <v/>
      </c>
      <c r="H153" s="12">
        <f>IFERROR(__xludf.DUMMYFUNCTION("GOOGLEFINANCE(""NSE:""&amp;$A153,""closeyest"")"),213.45)</f>
        <v/>
      </c>
      <c r="I153" s="12">
        <f>IFERROR(C153-H153,"")</f>
        <v/>
      </c>
      <c r="J153" s="13">
        <f>IFERROR((C153-H153)/H153,"")</f>
        <v/>
      </c>
      <c r="K153" s="17">
        <f>IFERROR(__xludf.DUMMYFUNCTION("IFERROR(GOOGLEFINANCE(""NSE:""&amp;$A153,""marketcap""),"""")"),1.387894835924E12)</f>
        <v/>
      </c>
      <c r="L153" s="15">
        <f>IFERROR(K153/SUMIF($B$2:$B$214,B153,$K$2:$K$214),"")</f>
        <v/>
      </c>
      <c r="M153" s="16">
        <f>IFERROR(K153/SUM($K$2:$K$214),"")</f>
        <v/>
      </c>
      <c r="N153" t="n">
        <v>0</v>
      </c>
      <c r="O153" t="n">
        <v>3</v>
      </c>
      <c r="P153" s="19" t="n">
        <v>28.05</v>
      </c>
      <c r="R153" s="19" t="n">
        <v>36.62</v>
      </c>
      <c r="S153" t="inlineStr">
        <is>
          <t>NEUTRAL</t>
        </is>
      </c>
      <c r="T153" s="19" t="n">
        <v>34.81</v>
      </c>
      <c r="V153" t="n">
        <v>66.63</v>
      </c>
    </row>
    <row r="154" ht="15.75" customHeight="1" s="23">
      <c r="A154" s="10" t="inlineStr">
        <is>
          <t>LICHSGFIN</t>
        </is>
      </c>
      <c r="B154" s="11" t="inlineStr">
        <is>
          <t>NBFC &amp; Financial Services</t>
        </is>
      </c>
      <c r="C154" s="12">
        <f>IFERROR(__xludf.DUMMYFUNCTION("GOOGLEFINANCE(""NSE:""&amp;$A154,""price"")"),564.0)</f>
        <v/>
      </c>
      <c r="D154" s="12">
        <f>IFERROR(__xludf.DUMMYFUNCTION("GOOGLEFINANCE(""NSE:""&amp;$A154,""priceopen"")"),561.0)</f>
        <v/>
      </c>
      <c r="E154" s="12">
        <f>IFERROR(__xludf.DUMMYFUNCTION("GOOGLEFINANCE(""NSE:""&amp;$A154,""high"")"),565.0)</f>
        <v/>
      </c>
      <c r="F154" s="12">
        <f>IFERROR(__xludf.DUMMYFUNCTION("GOOGLEFINANCE(""NSE:""&amp;$A154,""low"")"),554.15)</f>
        <v/>
      </c>
      <c r="G154" s="12">
        <f>IFERROR(__xludf.DUMMYFUNCTION("IFERROR(INDEX(GOOGLEFINANCE(""NSE:""&amp;$A154,""close"",TODAY()),2,2),C154)"),564.0)</f>
        <v/>
      </c>
      <c r="H154" s="12">
        <f>IFERROR(__xludf.DUMMYFUNCTION("GOOGLEFINANCE(""NSE:""&amp;$A154,""closeyest"")"),568.0)</f>
        <v/>
      </c>
      <c r="I154" s="12">
        <f>IFERROR(C154-H154,"")</f>
        <v/>
      </c>
      <c r="J154" s="13">
        <f>IFERROR((C154-H154)/H154,"")</f>
        <v/>
      </c>
      <c r="K154" s="17">
        <f>IFERROR(__xludf.DUMMYFUNCTION("IFERROR(GOOGLEFINANCE(""NSE:""&amp;$A154,""marketcap""),"""")"),3.10235532E11)</f>
        <v/>
      </c>
      <c r="L154" s="15">
        <f>IFERROR(K154/SUMIF($B$2:$B$214,B154,$K$2:$K$214),"")</f>
        <v/>
      </c>
      <c r="M154" s="16">
        <f>IFERROR(K154/SUM($K$2:$K$214),"")</f>
        <v/>
      </c>
      <c r="N154" t="n">
        <v>0</v>
      </c>
      <c r="O154" t="n">
        <v>1</v>
      </c>
      <c r="P154" s="19" t="n">
        <v>48.46</v>
      </c>
      <c r="R154" s="19" t="n">
        <v>49.38</v>
      </c>
      <c r="S154" t="inlineStr">
        <is>
          <t>NEUTRAL</t>
        </is>
      </c>
      <c r="T154" s="19" t="n">
        <v>39.16</v>
      </c>
      <c r="V154" t="n">
        <v>18.98</v>
      </c>
    </row>
    <row r="155" ht="15.75" customHeight="1" s="23">
      <c r="A155" s="10" t="inlineStr">
        <is>
          <t>LTF</t>
        </is>
      </c>
      <c r="B155" s="11" t="inlineStr">
        <is>
          <t>NBFC &amp; Financial Services</t>
        </is>
      </c>
      <c r="C155" s="12">
        <f>IFERROR(__xludf.DUMMYFUNCTION("GOOGLEFINANCE(""NSE:""&amp;$A155,""price"")"),267.6)</f>
        <v/>
      </c>
      <c r="D155" s="12">
        <f>IFERROR(__xludf.DUMMYFUNCTION("GOOGLEFINANCE(""NSE:""&amp;$A155,""priceopen"")"),263.9)</f>
        <v/>
      </c>
      <c r="E155" s="12">
        <f>IFERROR(__xludf.DUMMYFUNCTION("GOOGLEFINANCE(""NSE:""&amp;$A155,""high"")"),267.6)</f>
        <v/>
      </c>
      <c r="F155" s="12">
        <f>IFERROR(__xludf.DUMMYFUNCTION("GOOGLEFINANCE(""NSE:""&amp;$A155,""low"")"),261.7)</f>
        <v/>
      </c>
      <c r="G155" s="12">
        <f>IFERROR(__xludf.DUMMYFUNCTION("IFERROR(INDEX(GOOGLEFINANCE(""NSE:""&amp;$A155,""close"",TODAY()),2,2),C155)"),267.6)</f>
        <v/>
      </c>
      <c r="H155" s="12">
        <f>IFERROR(__xludf.DUMMYFUNCTION("GOOGLEFINANCE(""NSE:""&amp;$A155,""closeyest"")"),262.7)</f>
        <v/>
      </c>
      <c r="I155" s="12">
        <f>IFERROR(C155-H155,"")</f>
        <v/>
      </c>
      <c r="J155" s="13">
        <f>IFERROR((C155-H155)/H155,"")</f>
        <v/>
      </c>
      <c r="K155" s="17">
        <f>IFERROR(__xludf.DUMMYFUNCTION("IFERROR(GOOGLEFINANCE(""NSE:""&amp;$A155,""marketcap""),"""")"),6.584318E11)</f>
        <v/>
      </c>
      <c r="L155" s="15">
        <f>IFERROR(K155/SUMIF($B$2:$B$214,B155,$K$2:$K$214),"")</f>
        <v/>
      </c>
      <c r="M155" s="16">
        <f>IFERROR(K155/SUM($K$2:$K$214),"")</f>
        <v/>
      </c>
      <c r="N155" t="n">
        <v>0</v>
      </c>
      <c r="O155" t="n">
        <v>3</v>
      </c>
      <c r="P155" s="19" t="n">
        <v>56.89</v>
      </c>
      <c r="R155" s="19" t="n">
        <v>21.42</v>
      </c>
      <c r="S155" t="inlineStr">
        <is>
          <t>NEUTRAL</t>
        </is>
      </c>
      <c r="T155" s="19" t="n">
        <v>16.71</v>
      </c>
      <c r="V155" t="n">
        <v>40</v>
      </c>
    </row>
    <row r="156" ht="15.75" customHeight="1" s="23">
      <c r="A156" s="10" t="inlineStr">
        <is>
          <t>MANAPPURAM</t>
        </is>
      </c>
      <c r="B156" s="11" t="inlineStr">
        <is>
          <t>NBFC &amp; Financial Services</t>
        </is>
      </c>
      <c r="C156" s="12">
        <f>IFERROR(__xludf.DUMMYFUNCTION("GOOGLEFINANCE(""NSE:""&amp;$A156,""price"")"),326.75)</f>
        <v/>
      </c>
      <c r="D156" s="12">
        <f>IFERROR(__xludf.DUMMYFUNCTION("GOOGLEFINANCE(""NSE:""&amp;$A156,""priceopen"")"),321.75)</f>
        <v/>
      </c>
      <c r="E156" s="12">
        <f>IFERROR(__xludf.DUMMYFUNCTION("GOOGLEFINANCE(""NSE:""&amp;$A156,""high"")"),326.75)</f>
        <v/>
      </c>
      <c r="F156" s="12">
        <f>IFERROR(__xludf.DUMMYFUNCTION("GOOGLEFINANCE(""NSE:""&amp;$A156,""low"")"),318.0)</f>
        <v/>
      </c>
      <c r="G156" s="12">
        <f>IFERROR(__xludf.DUMMYFUNCTION("IFERROR(INDEX(GOOGLEFINANCE(""NSE:""&amp;$A156,""close"",TODAY()),2,2),C156)"),326.75)</f>
        <v/>
      </c>
      <c r="H156" s="12">
        <f>IFERROR(__xludf.DUMMYFUNCTION("GOOGLEFINANCE(""NSE:""&amp;$A156,""closeyest"")"),320.0)</f>
        <v/>
      </c>
      <c r="I156" s="12">
        <f>IFERROR(C156-H156,"")</f>
        <v/>
      </c>
      <c r="J156" s="13">
        <f>IFERROR((C156-H156)/H156,"")</f>
        <v/>
      </c>
      <c r="K156" s="17">
        <f>IFERROR(__xludf.DUMMYFUNCTION("IFERROR(GOOGLEFINANCE(""NSE:""&amp;$A156,""marketcap""),"""")"),3.0692810335E11)</f>
        <v/>
      </c>
      <c r="L156" s="15">
        <f>IFERROR(K156/SUMIF($B$2:$B$214,B156,$K$2:$K$214),"")</f>
        <v/>
      </c>
      <c r="M156" s="16">
        <f>IFERROR(K156/SUM($K$2:$K$214),"")</f>
        <v/>
      </c>
      <c r="N156" t="n">
        <v>0</v>
      </c>
      <c r="O156" t="n">
        <v>1</v>
      </c>
      <c r="P156" s="19" t="n">
        <v>60.34</v>
      </c>
      <c r="R156" s="19" t="n">
        <v>45.65</v>
      </c>
      <c r="S156" t="inlineStr">
        <is>
          <t>NEUTRAL</t>
        </is>
      </c>
      <c r="T156" s="19" t="n">
        <v>52.27</v>
      </c>
      <c r="V156" t="n">
        <v>56.43</v>
      </c>
    </row>
    <row r="157" ht="15.75" customHeight="1" s="23">
      <c r="A157" s="10" t="inlineStr">
        <is>
          <t>MUTHOOTFIN</t>
        </is>
      </c>
      <c r="B157" s="11" t="inlineStr">
        <is>
          <t>NBFC &amp; Financial Services</t>
        </is>
      </c>
      <c r="C157" s="12">
        <f>IFERROR(__xludf.DUMMYFUNCTION("GOOGLEFINANCE(""NSE:""&amp;$A157,""price"")"),2626.0)</f>
        <v/>
      </c>
      <c r="D157" s="12">
        <f>IFERROR(__xludf.DUMMYFUNCTION("GOOGLEFINANCE(""NSE:""&amp;$A157,""priceopen"")"),2634.0)</f>
        <v/>
      </c>
      <c r="E157" s="12">
        <f>IFERROR(__xludf.DUMMYFUNCTION("GOOGLEFINANCE(""NSE:""&amp;$A157,""high"")"),2634.2)</f>
        <v/>
      </c>
      <c r="F157" s="12">
        <f>IFERROR(__xludf.DUMMYFUNCTION("GOOGLEFINANCE(""NSE:""&amp;$A157,""low"")"),2583.7)</f>
        <v/>
      </c>
      <c r="G157" s="12">
        <f>IFERROR(__xludf.DUMMYFUNCTION("IFERROR(INDEX(GOOGLEFINANCE(""NSE:""&amp;$A157,""close"",TODAY()),2,2),C157)"),2626.0)</f>
        <v/>
      </c>
      <c r="H157" s="12">
        <f>IFERROR(__xludf.DUMMYFUNCTION("GOOGLEFINANCE(""NSE:""&amp;$A157,""closeyest"")"),2634.1)</f>
        <v/>
      </c>
      <c r="I157" s="12">
        <f>IFERROR(C157-H157,"")</f>
        <v/>
      </c>
      <c r="J157" s="13">
        <f>IFERROR((C157-H157)/H157,"")</f>
        <v/>
      </c>
      <c r="K157" s="17">
        <f>IFERROR(__xludf.DUMMYFUNCTION("IFERROR(GOOGLEFINANCE(""NSE:""&amp;$A157,""marketcap""),"""")"),1.0553074066E12)</f>
        <v/>
      </c>
      <c r="L157" s="15">
        <f>IFERROR(K157/SUMIF($B$2:$B$214,B157,$K$2:$K$214),"")</f>
        <v/>
      </c>
      <c r="M157" s="16">
        <f>IFERROR(K157/SUM($K$2:$K$214),"")</f>
        <v/>
      </c>
      <c r="N157" t="n">
        <v>0</v>
      </c>
      <c r="O157" t="n">
        <v>3</v>
      </c>
      <c r="P157" s="19" t="n">
        <v>49.45</v>
      </c>
      <c r="R157" s="19" t="n">
        <v>30.53</v>
      </c>
      <c r="S157" t="inlineStr">
        <is>
          <t>NEUTRAL</t>
        </is>
      </c>
      <c r="T157" s="19" t="n">
        <v>21.44</v>
      </c>
      <c r="V157" t="n">
        <v>27.55</v>
      </c>
    </row>
    <row r="158" ht="15.75" customHeight="1" s="23">
      <c r="A158" s="10" t="inlineStr">
        <is>
          <t>PFC</t>
        </is>
      </c>
      <c r="B158" s="11" t="inlineStr">
        <is>
          <t>NBFC &amp; Financial Services</t>
        </is>
      </c>
      <c r="C158" s="12">
        <f>IFERROR(__xludf.DUMMYFUNCTION("GOOGLEFINANCE(""NSE:""&amp;$A158,""price"")"),342.05)</f>
        <v/>
      </c>
      <c r="D158" s="12">
        <f>IFERROR(__xludf.DUMMYFUNCTION("GOOGLEFINANCE(""NSE:""&amp;$A158,""priceopen"")"),335.6)</f>
        <v/>
      </c>
      <c r="E158" s="12">
        <f>IFERROR(__xludf.DUMMYFUNCTION("GOOGLEFINANCE(""NSE:""&amp;$A158,""high"")"),343.5)</f>
        <v/>
      </c>
      <c r="F158" s="12">
        <f>IFERROR(__xludf.DUMMYFUNCTION("GOOGLEFINANCE(""NSE:""&amp;$A158,""low"")"),334.3)</f>
        <v/>
      </c>
      <c r="G158" s="12">
        <f>IFERROR(__xludf.DUMMYFUNCTION("IFERROR(INDEX(GOOGLEFINANCE(""NSE:""&amp;$A158,""close"",TODAY()),2,2),C158)"),342.05)</f>
        <v/>
      </c>
      <c r="H158" s="12">
        <f>IFERROR(__xludf.DUMMYFUNCTION("GOOGLEFINANCE(""NSE:""&amp;$A158,""closeyest"")"),337.9)</f>
        <v/>
      </c>
      <c r="I158" s="12">
        <f>IFERROR(C158-H158,"")</f>
        <v/>
      </c>
      <c r="J158" s="13">
        <f>IFERROR((C158-H158)/H158,"")</f>
        <v/>
      </c>
      <c r="K158" s="17">
        <f>IFERROR(__xludf.DUMMYFUNCTION("IFERROR(GOOGLEFINANCE(""NSE:""&amp;$A158,""marketcap""),"""")"),1.128907458E12)</f>
        <v/>
      </c>
      <c r="L158" s="15">
        <f>IFERROR(K158/SUMIF($B$2:$B$214,B158,$K$2:$K$214),"")</f>
        <v/>
      </c>
      <c r="M158" s="16">
        <f>IFERROR(K158/SUM($K$2:$K$214),"")</f>
        <v/>
      </c>
      <c r="N158" t="n">
        <v>0</v>
      </c>
      <c r="O158" t="n">
        <v>2</v>
      </c>
      <c r="P158" s="19" t="n">
        <v>47.69</v>
      </c>
      <c r="R158" s="19" t="n">
        <v>33.16</v>
      </c>
      <c r="S158" t="inlineStr">
        <is>
          <t>NEUTRAL</t>
        </is>
      </c>
      <c r="T158" s="19" t="n">
        <v>48.77</v>
      </c>
      <c r="V158" t="n">
        <v>66.34</v>
      </c>
    </row>
    <row r="159" ht="15.75" customHeight="1" s="23">
      <c r="A159" s="10" t="inlineStr">
        <is>
          <t>PNBHOUSING</t>
        </is>
      </c>
      <c r="B159" s="11" t="inlineStr">
        <is>
          <t>NBFC &amp; Financial Services</t>
        </is>
      </c>
      <c r="C159" s="12">
        <f>IFERROR(__xludf.DUMMYFUNCTION("GOOGLEFINANCE(""NSE:""&amp;$A159,""price"")"),1224.8)</f>
        <v/>
      </c>
      <c r="D159" s="12">
        <f>IFERROR(__xludf.DUMMYFUNCTION("GOOGLEFINANCE(""NSE:""&amp;$A159,""priceopen"")"),1205.0)</f>
        <v/>
      </c>
      <c r="E159" s="12">
        <f>IFERROR(__xludf.DUMMYFUNCTION("GOOGLEFINANCE(""NSE:""&amp;$A159,""high"")"),1224.8)</f>
        <v/>
      </c>
      <c r="F159" s="12">
        <f>IFERROR(__xludf.DUMMYFUNCTION("GOOGLEFINANCE(""NSE:""&amp;$A159,""low"")"),1191.6)</f>
        <v/>
      </c>
      <c r="G159" s="12">
        <f>IFERROR(__xludf.DUMMYFUNCTION("IFERROR(INDEX(GOOGLEFINANCE(""NSE:""&amp;$A159,""close"",TODAY()),2,2),C159)"),1224.8)</f>
        <v/>
      </c>
      <c r="H159" s="12">
        <f>IFERROR(__xludf.DUMMYFUNCTION("GOOGLEFINANCE(""NSE:""&amp;$A159,""closeyest"")"),1200.0)</f>
        <v/>
      </c>
      <c r="I159" s="12">
        <f>IFERROR(C159-H159,"")</f>
        <v/>
      </c>
      <c r="J159" s="13">
        <f>IFERROR((C159-H159)/H159,"")</f>
        <v/>
      </c>
      <c r="K159" s="17">
        <f>IFERROR(__xludf.DUMMYFUNCTION("IFERROR(GOOGLEFINANCE(""NSE:""&amp;$A159,""marketcap""),"""")"),3.198130416E11)</f>
        <v/>
      </c>
      <c r="L159" s="15">
        <f>IFERROR(K159/SUMIF($B$2:$B$214,B159,$K$2:$K$214),"")</f>
        <v/>
      </c>
      <c r="M159" s="16">
        <f>IFERROR(K159/SUM($K$2:$K$214),"")</f>
        <v/>
      </c>
      <c r="N159" t="n">
        <v>2</v>
      </c>
      <c r="O159" t="n">
        <v>0</v>
      </c>
      <c r="P159" s="19" t="n">
        <v>73.06</v>
      </c>
      <c r="R159" s="19" t="n">
        <v>62.73</v>
      </c>
      <c r="S159" t="inlineStr">
        <is>
          <t>NEUTRAL</t>
        </is>
      </c>
      <c r="T159" s="19" t="n">
        <v>60.89</v>
      </c>
      <c r="V159" t="n">
        <v>50</v>
      </c>
    </row>
    <row r="160" ht="15.75" customHeight="1" s="23">
      <c r="A160" s="10" t="inlineStr">
        <is>
          <t>RECLTD</t>
        </is>
      </c>
      <c r="B160" s="11" t="inlineStr">
        <is>
          <t>NBFC &amp; Financial Services</t>
        </is>
      </c>
      <c r="C160" s="12">
        <f>IFERROR(__xludf.DUMMYFUNCTION("GOOGLEFINANCE(""NSE:""&amp;$A160,""price"")"),307.0)</f>
        <v/>
      </c>
      <c r="D160" s="12">
        <f>IFERROR(__xludf.DUMMYFUNCTION("GOOGLEFINANCE(""NSE:""&amp;$A160,""priceopen"")"),302.3)</f>
        <v/>
      </c>
      <c r="E160" s="12">
        <f>IFERROR(__xludf.DUMMYFUNCTION("GOOGLEFINANCE(""NSE:""&amp;$A160,""high"")"),307.8)</f>
        <v/>
      </c>
      <c r="F160" s="12">
        <f>IFERROR(__xludf.DUMMYFUNCTION("GOOGLEFINANCE(""NSE:""&amp;$A160,""low"")"),302.3)</f>
        <v/>
      </c>
      <c r="G160" s="12">
        <f>IFERROR(__xludf.DUMMYFUNCTION("IFERROR(INDEX(GOOGLEFINANCE(""NSE:""&amp;$A160,""close"",TODAY()),2,2),C160)"),307.0)</f>
        <v/>
      </c>
      <c r="H160" s="12">
        <f>IFERROR(__xludf.DUMMYFUNCTION("GOOGLEFINANCE(""NSE:""&amp;$A160,""closeyest"")"),301.0)</f>
        <v/>
      </c>
      <c r="I160" s="12">
        <f>IFERROR(C160-H160,"")</f>
        <v/>
      </c>
      <c r="J160" s="13">
        <f>IFERROR((C160-H160)/H160,"")</f>
        <v/>
      </c>
      <c r="K160" s="17">
        <f>IFERROR(__xludf.DUMMYFUNCTION("IFERROR(GOOGLEFINANCE(""NSE:""&amp;$A160,""marketcap""),"""")"),8.06984463E11)</f>
        <v/>
      </c>
      <c r="L160" s="15">
        <f>IFERROR(K160/SUMIF($B$2:$B$214,B160,$K$2:$K$214),"")</f>
        <v/>
      </c>
      <c r="M160" s="16">
        <f>IFERROR(K160/SUM($K$2:$K$214),"")</f>
        <v/>
      </c>
      <c r="N160" t="n">
        <v>0</v>
      </c>
      <c r="O160" t="n">
        <v>2</v>
      </c>
      <c r="P160" s="19" t="n">
        <v>46.38</v>
      </c>
      <c r="R160" s="19" t="n">
        <v>37.48</v>
      </c>
      <c r="S160" t="inlineStr">
        <is>
          <t>NEUTRAL</t>
        </is>
      </c>
      <c r="T160" s="19" t="n">
        <v>50.19</v>
      </c>
      <c r="V160" t="n">
        <v>83.28</v>
      </c>
    </row>
    <row r="161" ht="15.75" customHeight="1" s="23">
      <c r="A161" s="10" t="inlineStr">
        <is>
          <t>SBICARD</t>
        </is>
      </c>
      <c r="B161" s="11" t="inlineStr">
        <is>
          <t>NBFC &amp; Financial Services</t>
        </is>
      </c>
      <c r="C161" s="12">
        <f>IFERROR(__xludf.DUMMYFUNCTION("GOOGLEFINANCE(""NSE:""&amp;$A161,""price"")"),572.3)</f>
        <v/>
      </c>
      <c r="D161" s="12">
        <f>IFERROR(__xludf.DUMMYFUNCTION("GOOGLEFINANCE(""NSE:""&amp;$A161,""priceopen"")"),559.0)</f>
        <v/>
      </c>
      <c r="E161" s="12">
        <f>IFERROR(__xludf.DUMMYFUNCTION("GOOGLEFINANCE(""NSE:""&amp;$A161,""high"")"),572.55)</f>
        <v/>
      </c>
      <c r="F161" s="12">
        <f>IFERROR(__xludf.DUMMYFUNCTION("GOOGLEFINANCE(""NSE:""&amp;$A161,""low"")"),557.45)</f>
        <v/>
      </c>
      <c r="G161" s="12">
        <f>IFERROR(__xludf.DUMMYFUNCTION("IFERROR(INDEX(GOOGLEFINANCE(""NSE:""&amp;$A161,""close"",TODAY()),2,2),C161)"),572.3)</f>
        <v/>
      </c>
      <c r="H161" s="12">
        <f>IFERROR(__xludf.DUMMYFUNCTION("GOOGLEFINANCE(""NSE:""&amp;$A161,""closeyest"")"),558.7)</f>
        <v/>
      </c>
      <c r="I161" s="12">
        <f>IFERROR(C161-H161,"")</f>
        <v/>
      </c>
      <c r="J161" s="13">
        <f>IFERROR((C161-H161)/H161,"")</f>
        <v/>
      </c>
      <c r="K161" s="17">
        <f>IFERROR(__xludf.DUMMYFUNCTION("IFERROR(GOOGLEFINANCE(""NSE:""&amp;$A161,""marketcap""),"""")"),5.44625735123E11)</f>
        <v/>
      </c>
      <c r="L161" s="15">
        <f>IFERROR(K161/SUMIF($B$2:$B$214,B161,$K$2:$K$214),"")</f>
        <v/>
      </c>
      <c r="M161" s="16">
        <f>IFERROR(K161/SUM($K$2:$K$214),"")</f>
        <v/>
      </c>
      <c r="N161" t="n">
        <v>0</v>
      </c>
      <c r="O161" t="n">
        <v>2</v>
      </c>
      <c r="P161" s="19" t="n">
        <v>29.86</v>
      </c>
      <c r="R161" s="19" t="n">
        <v>42.5</v>
      </c>
      <c r="S161" t="inlineStr">
        <is>
          <t>NEUTRAL</t>
        </is>
      </c>
      <c r="T161" s="19" t="n">
        <v>25.24</v>
      </c>
      <c r="V161" t="n">
        <v>62.65</v>
      </c>
    </row>
    <row r="162" ht="15.75" customHeight="1" s="23">
      <c r="A162" s="10" t="inlineStr">
        <is>
          <t>SHRIRAMFIN</t>
        </is>
      </c>
      <c r="B162" s="11" t="inlineStr">
        <is>
          <t>NBFC &amp; Financial Services</t>
        </is>
      </c>
      <c r="C162" s="12">
        <f>IFERROR(__xludf.DUMMYFUNCTION("GOOGLEFINANCE(""NSE:""&amp;$A162,""price"")"),988.0)</f>
        <v/>
      </c>
      <c r="D162" s="12">
        <f>IFERROR(__xludf.DUMMYFUNCTION("GOOGLEFINANCE(""NSE:""&amp;$A162,""priceopen"")"),929.0)</f>
        <v/>
      </c>
      <c r="E162" s="12">
        <f>IFERROR(__xludf.DUMMYFUNCTION("GOOGLEFINANCE(""NSE:""&amp;$A162,""high"")"),990.6)</f>
        <v/>
      </c>
      <c r="F162" s="12">
        <f>IFERROR(__xludf.DUMMYFUNCTION("GOOGLEFINANCE(""NSE:""&amp;$A162,""low"")"),920.0)</f>
        <v/>
      </c>
      <c r="G162" s="12">
        <f>IFERROR(__xludf.DUMMYFUNCTION("IFERROR(INDEX(GOOGLEFINANCE(""NSE:""&amp;$A162,""close"",TODAY()),2,2),C162)"),988.0)</f>
        <v/>
      </c>
      <c r="H162" s="12">
        <f>IFERROR(__xludf.DUMMYFUNCTION("GOOGLEFINANCE(""NSE:""&amp;$A162,""closeyest"")"),929.4)</f>
        <v/>
      </c>
      <c r="I162" s="12">
        <f>IFERROR(C162-H162,"")</f>
        <v/>
      </c>
      <c r="J162" s="13">
        <f>IFERROR((C162-H162)/H162,"")</f>
        <v/>
      </c>
      <c r="K162" s="17">
        <f>IFERROR(__xludf.DUMMYFUNCTION("IFERROR(GOOGLEFINANCE(""NSE:""&amp;$A162,""marketcap""),"""")"),1.857379732E12)</f>
        <v/>
      </c>
      <c r="L162" s="15">
        <f>IFERROR(K162/SUMIF($B$2:$B$214,B162,$K$2:$K$214),"")</f>
        <v/>
      </c>
      <c r="M162" s="16">
        <f>IFERROR(K162/SUM($K$2:$K$214),"")</f>
        <v/>
      </c>
      <c r="N162" t="n">
        <v>0</v>
      </c>
      <c r="O162" t="n">
        <v>2</v>
      </c>
      <c r="P162" s="19" t="n">
        <v>66.98</v>
      </c>
      <c r="R162" s="19" t="n">
        <v>37.04</v>
      </c>
      <c r="S162" t="inlineStr">
        <is>
          <t>NEUTRAL</t>
        </is>
      </c>
      <c r="T162" s="19" t="n">
        <v>40.12</v>
      </c>
      <c r="V162" t="n">
        <v>58.16</v>
      </c>
    </row>
    <row r="163" ht="15.75" customHeight="1" s="23">
      <c r="A163" s="10" t="inlineStr">
        <is>
          <t>BPCL</t>
        </is>
      </c>
      <c r="B163" s="11" t="inlineStr">
        <is>
          <t>Oil &amp; Gas</t>
        </is>
      </c>
      <c r="C163" s="12">
        <f>IFERROR(__xludf.DUMMYFUNCTION("GOOGLEFINANCE(""NSE:""&amp;$A163,""price"")"),287.4)</f>
        <v/>
      </c>
      <c r="D163" s="12">
        <f>IFERROR(__xludf.DUMMYFUNCTION("GOOGLEFINANCE(""NSE:""&amp;$A163,""priceopen"")"),285.9)</f>
        <v/>
      </c>
      <c r="E163" s="12">
        <f>IFERROR(__xludf.DUMMYFUNCTION("GOOGLEFINANCE(""NSE:""&amp;$A163,""high"")"),287.4)</f>
        <v/>
      </c>
      <c r="F163" s="12">
        <f>IFERROR(__xludf.DUMMYFUNCTION("GOOGLEFINANCE(""NSE:""&amp;$A163,""low"")"),283.25)</f>
        <v/>
      </c>
      <c r="G163" s="12">
        <f>IFERROR(__xludf.DUMMYFUNCTION("IFERROR(INDEX(GOOGLEFINANCE(""NSE:""&amp;$A163,""close"",TODAY()),2,2),C163)"),287.4)</f>
        <v/>
      </c>
      <c r="H163" s="12">
        <f>IFERROR(__xludf.DUMMYFUNCTION("GOOGLEFINANCE(""NSE:""&amp;$A163,""closeyest"")"),284.5)</f>
        <v/>
      </c>
      <c r="I163" s="12">
        <f>IFERROR(C163-H163,"")</f>
        <v/>
      </c>
      <c r="J163" s="13">
        <f>IFERROR((C163-H163)/H163,"")</f>
        <v/>
      </c>
      <c r="K163" s="17">
        <f>IFERROR(__xludf.DUMMYFUNCTION("IFERROR(GOOGLEFINANCE(""NSE:""&amp;$A163,""marketcap""),"""")"),6.20283556798E11)</f>
        <v/>
      </c>
      <c r="L163" s="15">
        <f>IFERROR(K163/SUMIF($B$2:$B$214,B163,$K$2:$K$214),"")</f>
        <v/>
      </c>
      <c r="M163" s="16">
        <f>IFERROR(K163/SUM($K$2:$K$214),"")</f>
        <v/>
      </c>
      <c r="N163" t="n">
        <v>0</v>
      </c>
      <c r="O163" t="n">
        <v>3</v>
      </c>
      <c r="P163" s="19" t="n">
        <v>49.37</v>
      </c>
      <c r="R163" s="19" t="n">
        <v>39.15</v>
      </c>
      <c r="S163" t="inlineStr">
        <is>
          <t>NEUTRAL</t>
        </is>
      </c>
      <c r="T163" s="19" t="n">
        <v>27.15</v>
      </c>
      <c r="V163" t="n">
        <v>65.94</v>
      </c>
    </row>
    <row r="164" ht="15.75" customHeight="1" s="23">
      <c r="A164" s="10" t="inlineStr">
        <is>
          <t>GAIL</t>
        </is>
      </c>
      <c r="B164" s="11" t="inlineStr">
        <is>
          <t>Oil &amp; Gas</t>
        </is>
      </c>
      <c r="C164" s="12">
        <f>IFERROR(__xludf.DUMMYFUNCTION("GOOGLEFINANCE(""NSE:""&amp;$A164,""price"")"),168.3)</f>
        <v/>
      </c>
      <c r="D164" s="12">
        <f>IFERROR(__xludf.DUMMYFUNCTION("GOOGLEFINANCE(""NSE:""&amp;$A164,""priceopen"")"),167.49)</f>
        <v/>
      </c>
      <c r="E164" s="12">
        <f>IFERROR(__xludf.DUMMYFUNCTION("GOOGLEFINANCE(""NSE:""&amp;$A164,""high"")"),168.89)</f>
        <v/>
      </c>
      <c r="F164" s="12">
        <f>IFERROR(__xludf.DUMMYFUNCTION("GOOGLEFINANCE(""NSE:""&amp;$A164,""low"")"),165.87)</f>
        <v/>
      </c>
      <c r="G164" s="12">
        <f>IFERROR(__xludf.DUMMYFUNCTION("IFERROR(INDEX(GOOGLEFINANCE(""NSE:""&amp;$A164,""close"",TODAY()),2,2),C164)"),168.3)</f>
        <v/>
      </c>
      <c r="H164" s="12">
        <f>IFERROR(__xludf.DUMMYFUNCTION("GOOGLEFINANCE(""NSE:""&amp;$A164,""closeyest"")"),166.91)</f>
        <v/>
      </c>
      <c r="I164" s="12">
        <f>IFERROR(C164-H164,"")</f>
        <v/>
      </c>
      <c r="J164" s="13">
        <f>IFERROR((C164-H164)/H164,"")</f>
        <v/>
      </c>
      <c r="K164" s="17">
        <f>IFERROR(__xludf.DUMMYFUNCTION("IFERROR(GOOGLEFINANCE(""NSE:""&amp;$A164,""marketcap""),"""")"),1.107062570275E12)</f>
        <v/>
      </c>
      <c r="L164" s="15">
        <f>IFERROR(K164/SUMIF($B$2:$B$214,B164,$K$2:$K$214),"")</f>
        <v/>
      </c>
      <c r="M164" s="16">
        <f>IFERROR(K164/SUM($K$2:$K$214),"")</f>
        <v/>
      </c>
      <c r="N164" t="n">
        <v>2</v>
      </c>
      <c r="O164" t="n">
        <v>1</v>
      </c>
      <c r="P164" s="19" t="n">
        <v>49.84</v>
      </c>
      <c r="R164" s="19" t="n">
        <v>41.92</v>
      </c>
      <c r="S164" t="inlineStr">
        <is>
          <t>NEUTRAL</t>
        </is>
      </c>
      <c r="T164" s="19" t="n">
        <v>36.77</v>
      </c>
      <c r="V164" t="n">
        <v>50.38</v>
      </c>
    </row>
    <row r="165" ht="15.75" customHeight="1" s="23">
      <c r="A165" s="10" t="inlineStr">
        <is>
          <t>HINDPETRO</t>
        </is>
      </c>
      <c r="B165" s="11" t="inlineStr">
        <is>
          <t>Oil &amp; Gas</t>
        </is>
      </c>
      <c r="C165" s="12">
        <f>IFERROR(__xludf.DUMMYFUNCTION("GOOGLEFINANCE(""NSE:""&amp;$A165,""price"")"),329.0)</f>
        <v/>
      </c>
      <c r="D165" s="12">
        <f>IFERROR(__xludf.DUMMYFUNCTION("GOOGLEFINANCE(""NSE:""&amp;$A165,""priceopen"")"),331.85)</f>
        <v/>
      </c>
      <c r="E165" s="12">
        <f>IFERROR(__xludf.DUMMYFUNCTION("GOOGLEFINANCE(""NSE:""&amp;$A165,""high"")"),332.15)</f>
        <v/>
      </c>
      <c r="F165" s="12">
        <f>IFERROR(__xludf.DUMMYFUNCTION("GOOGLEFINANCE(""NSE:""&amp;$A165,""low"")"),324.4)</f>
        <v/>
      </c>
      <c r="G165" s="12">
        <f>IFERROR(__xludf.DUMMYFUNCTION("IFERROR(INDEX(GOOGLEFINANCE(""NSE:""&amp;$A165,""close"",TODAY()),2,2),C165)"),329.0)</f>
        <v/>
      </c>
      <c r="H165" s="12">
        <f>IFERROR(__xludf.DUMMYFUNCTION("GOOGLEFINANCE(""NSE:""&amp;$A165,""closeyest"")"),332.25)</f>
        <v/>
      </c>
      <c r="I165" s="12">
        <f>IFERROR(C165-H165,"")</f>
        <v/>
      </c>
      <c r="J165" s="13">
        <f>IFERROR((C165-H165)/H165,"")</f>
        <v/>
      </c>
      <c r="K165" s="17">
        <f>IFERROR(__xludf.DUMMYFUNCTION("IFERROR(GOOGLEFINANCE(""NSE:""&amp;$A165,""marketcap""),"""")"),6.99776676768E11)</f>
        <v/>
      </c>
      <c r="L165" s="15">
        <f>IFERROR(K165/SUMIF($B$2:$B$214,B165,$K$2:$K$214),"")</f>
        <v/>
      </c>
      <c r="M165" s="16">
        <f>IFERROR(K165/SUM($K$2:$K$214),"")</f>
        <v/>
      </c>
      <c r="N165" t="n">
        <v>0</v>
      </c>
      <c r="O165" t="n">
        <v>3</v>
      </c>
      <c r="P165" s="19" t="n">
        <v>47.32</v>
      </c>
      <c r="R165" s="19" t="n">
        <v>28.19</v>
      </c>
      <c r="S165" t="inlineStr">
        <is>
          <t>NEUTRAL</t>
        </is>
      </c>
      <c r="T165" s="19" t="n">
        <v>31.87</v>
      </c>
      <c r="V165" t="n">
        <v>46.97</v>
      </c>
    </row>
    <row r="166" ht="15.75" customHeight="1" s="23">
      <c r="A166" s="10" t="inlineStr">
        <is>
          <t>IOC</t>
        </is>
      </c>
      <c r="B166" s="11" t="inlineStr">
        <is>
          <t>Oil &amp; Gas</t>
        </is>
      </c>
      <c r="C166" s="12">
        <f>IFERROR(__xludf.DUMMYFUNCTION("GOOGLEFINANCE(""NSE:""&amp;$A166,""price"")"),126.14)</f>
        <v/>
      </c>
      <c r="D166" s="12">
        <f>IFERROR(__xludf.DUMMYFUNCTION("GOOGLEFINANCE(""NSE:""&amp;$A166,""priceopen"")"),125.85)</f>
        <v/>
      </c>
      <c r="E166" s="12">
        <f>IFERROR(__xludf.DUMMYFUNCTION("GOOGLEFINANCE(""NSE:""&amp;$A166,""high"")"),126.21)</f>
        <v/>
      </c>
      <c r="F166" s="12">
        <f>IFERROR(__xludf.DUMMYFUNCTION("GOOGLEFINANCE(""NSE:""&amp;$A166,""low"")"),125.0)</f>
        <v/>
      </c>
      <c r="G166" s="12">
        <f>IFERROR(__xludf.DUMMYFUNCTION("IFERROR(INDEX(GOOGLEFINANCE(""NSE:""&amp;$A166,""close"",TODAY()),2,2),C166)"),126.14)</f>
        <v/>
      </c>
      <c r="H166" s="12">
        <f>IFERROR(__xludf.DUMMYFUNCTION("GOOGLEFINANCE(""NSE:""&amp;$A166,""closeyest"")"),125.35)</f>
        <v/>
      </c>
      <c r="I166" s="12">
        <f>IFERROR(C166-H166,"")</f>
        <v/>
      </c>
      <c r="J166" s="13">
        <f>IFERROR((C166-H166)/H166,"")</f>
        <v/>
      </c>
      <c r="K166" s="17">
        <f>IFERROR(__xludf.DUMMYFUNCTION("IFERROR(GOOGLEFINANCE(""NSE:""&amp;$A166,""marketcap""),"""")"),1.78163665555E12)</f>
        <v/>
      </c>
      <c r="L166" s="15">
        <f>IFERROR(K166/SUMIF($B$2:$B$214,B166,$K$2:$K$214),"")</f>
        <v/>
      </c>
      <c r="M166" s="16">
        <f>IFERROR(K166/SUM($K$2:$K$214),"")</f>
        <v/>
      </c>
      <c r="N166" t="n">
        <v>0</v>
      </c>
      <c r="O166" t="n">
        <v>5</v>
      </c>
      <c r="P166" s="19" t="n">
        <v>49.3</v>
      </c>
      <c r="R166" s="19" t="n">
        <v>35.87</v>
      </c>
      <c r="S166" t="inlineStr">
        <is>
          <t>BEARISH</t>
        </is>
      </c>
      <c r="T166" s="19" t="n">
        <v>29.18</v>
      </c>
      <c r="V166" t="n">
        <v>75.26000000000001</v>
      </c>
    </row>
    <row r="167" ht="15.75" customHeight="1" s="23">
      <c r="A167" s="10" t="inlineStr">
        <is>
          <t>OIL</t>
        </is>
      </c>
      <c r="B167" s="11" t="inlineStr">
        <is>
          <t>Oil &amp; Gas</t>
        </is>
      </c>
      <c r="C167" s="12">
        <f>IFERROR(__xludf.DUMMYFUNCTION("GOOGLEFINANCE(""NSE:""&amp;$A167,""price"")"),445.0)</f>
        <v/>
      </c>
      <c r="D167" s="12">
        <f>IFERROR(__xludf.DUMMYFUNCTION("GOOGLEFINANCE(""NSE:""&amp;$A167,""priceopen"")"),444.0)</f>
        <v/>
      </c>
      <c r="E167" s="12">
        <f>IFERROR(__xludf.DUMMYFUNCTION("GOOGLEFINANCE(""NSE:""&amp;$A167,""high"")"),445.0)</f>
        <v/>
      </c>
      <c r="F167" s="12">
        <f>IFERROR(__xludf.DUMMYFUNCTION("GOOGLEFINANCE(""NSE:""&amp;$A167,""low"")"),440.5)</f>
        <v/>
      </c>
      <c r="G167" s="12">
        <f>IFERROR(__xludf.DUMMYFUNCTION("IFERROR(INDEX(GOOGLEFINANCE(""NSE:""&amp;$A167,""close"",TODAY()),2,2),C167)"),445.0)</f>
        <v/>
      </c>
      <c r="H167" s="12">
        <f>IFERROR(__xludf.DUMMYFUNCTION("GOOGLEFINANCE(""NSE:""&amp;$A167,""closeyest"")"),441.55)</f>
        <v/>
      </c>
      <c r="I167" s="12">
        <f>IFERROR(C167-H167,"")</f>
        <v/>
      </c>
      <c r="J167" s="13">
        <f>IFERROR((C167-H167)/H167,"")</f>
        <v/>
      </c>
      <c r="K167" s="17">
        <f>IFERROR(__xludf.DUMMYFUNCTION("IFERROR(GOOGLEFINANCE(""NSE:""&amp;$A167,""marketcap""),"""")"),7.20749571628E11)</f>
        <v/>
      </c>
      <c r="L167" s="15">
        <f>IFERROR(K167/SUMIF($B$2:$B$214,B167,$K$2:$K$214),"")</f>
        <v/>
      </c>
      <c r="M167" s="16">
        <f>IFERROR(K167/SUM($K$2:$K$214),"")</f>
        <v/>
      </c>
      <c r="N167" t="n">
        <v>3</v>
      </c>
      <c r="O167" t="n">
        <v>1</v>
      </c>
      <c r="P167" s="19" t="n">
        <v>59.24</v>
      </c>
      <c r="R167" s="19" t="n">
        <v>58.01</v>
      </c>
      <c r="S167" t="inlineStr">
        <is>
          <t>NEUTRAL</t>
        </is>
      </c>
      <c r="T167" s="19" t="n">
        <v>34.58</v>
      </c>
      <c r="V167" t="n">
        <v>65.81999999999999</v>
      </c>
    </row>
    <row r="168" ht="15.75" customHeight="1" s="23">
      <c r="A168" s="10" t="inlineStr">
        <is>
          <t>ONGC</t>
        </is>
      </c>
      <c r="B168" s="11" t="inlineStr">
        <is>
          <t>Oil &amp; Gas</t>
        </is>
      </c>
      <c r="C168" s="12">
        <f>IFERROR(__xludf.DUMMYFUNCTION("GOOGLEFINANCE(""NSE:""&amp;$A168,""price"")"),222.65)</f>
        <v/>
      </c>
      <c r="D168" s="12">
        <f>IFERROR(__xludf.DUMMYFUNCTION("GOOGLEFINANCE(""NSE:""&amp;$A168,""priceopen"")"),221.2)</f>
        <v/>
      </c>
      <c r="E168" s="12">
        <f>IFERROR(__xludf.DUMMYFUNCTION("GOOGLEFINANCE(""NSE:""&amp;$A168,""high"")"),222.65)</f>
        <v/>
      </c>
      <c r="F168" s="12">
        <f>IFERROR(__xludf.DUMMYFUNCTION("GOOGLEFINANCE(""NSE:""&amp;$A168,""low"")"),219.02)</f>
        <v/>
      </c>
      <c r="G168" s="12">
        <f>IFERROR(__xludf.DUMMYFUNCTION("IFERROR(INDEX(GOOGLEFINANCE(""NSE:""&amp;$A168,""close"",TODAY()),2,2),C168)"),222.65)</f>
        <v/>
      </c>
      <c r="H168" s="12">
        <f>IFERROR(__xludf.DUMMYFUNCTION("GOOGLEFINANCE(""NSE:""&amp;$A168,""closeyest"")"),220.0)</f>
        <v/>
      </c>
      <c r="I168" s="12">
        <f>IFERROR(C168-H168,"")</f>
        <v/>
      </c>
      <c r="J168" s="13">
        <f>IFERROR((C168-H168)/H168,"")</f>
        <v/>
      </c>
      <c r="K168" s="17">
        <f>IFERROR(__xludf.DUMMYFUNCTION("IFERROR(GOOGLEFINANCE(""NSE:""&amp;$A168,""marketcap""),"""")"),2.7989966E12)</f>
        <v/>
      </c>
      <c r="L168" s="15">
        <f>IFERROR(K168/SUMIF($B$2:$B$214,B168,$K$2:$K$214),"")</f>
        <v/>
      </c>
      <c r="M168" s="16">
        <f>IFERROR(K168/SUM($K$2:$K$214),"")</f>
        <v/>
      </c>
      <c r="N168" t="n">
        <v>0</v>
      </c>
      <c r="O168" t="n">
        <v>3</v>
      </c>
      <c r="P168" s="19" t="n">
        <v>51.29</v>
      </c>
      <c r="R168" s="19" t="n">
        <v>30.79</v>
      </c>
      <c r="S168" t="inlineStr">
        <is>
          <t>NEUTRAL</t>
        </is>
      </c>
      <c r="T168" s="19" t="n">
        <v>33.53</v>
      </c>
      <c r="V168" t="n">
        <v>75.65000000000001</v>
      </c>
    </row>
    <row r="169" ht="15.75" customHeight="1" s="23">
      <c r="A169" s="10" t="inlineStr">
        <is>
          <t>PETRONET</t>
        </is>
      </c>
      <c r="B169" s="11" t="inlineStr">
        <is>
          <t>Oil &amp; Gas</t>
        </is>
      </c>
      <c r="C169" s="12">
        <f>IFERROR(__xludf.DUMMYFUNCTION("GOOGLEFINANCE(""NSE:""&amp;$A169,""price"")"),290.0)</f>
        <v/>
      </c>
      <c r="D169" s="12">
        <f>IFERROR(__xludf.DUMMYFUNCTION("GOOGLEFINANCE(""NSE:""&amp;$A169,""priceopen"")"),288.65)</f>
        <v/>
      </c>
      <c r="E169" s="12">
        <f>IFERROR(__xludf.DUMMYFUNCTION("GOOGLEFINANCE(""NSE:""&amp;$A169,""high"")"),291.35)</f>
        <v/>
      </c>
      <c r="F169" s="12">
        <f>IFERROR(__xludf.DUMMYFUNCTION("GOOGLEFINANCE(""NSE:""&amp;$A169,""low"")"),288.15)</f>
        <v/>
      </c>
      <c r="G169" s="12">
        <f>IFERROR(__xludf.DUMMYFUNCTION("IFERROR(INDEX(GOOGLEFINANCE(""NSE:""&amp;$A169,""close"",TODAY()),2,2),C169)"),290.0)</f>
        <v/>
      </c>
      <c r="H169" s="12">
        <f>IFERROR(__xludf.DUMMYFUNCTION("GOOGLEFINANCE(""NSE:""&amp;$A169,""closeyest"")"),290.5)</f>
        <v/>
      </c>
      <c r="I169" s="12">
        <f>IFERROR(C169-H169,"")</f>
        <v/>
      </c>
      <c r="J169" s="13">
        <f>IFERROR((C169-H169)/H169,"")</f>
        <v/>
      </c>
      <c r="K169" s="17">
        <f>IFERROR(__xludf.DUMMYFUNCTION("IFERROR(GOOGLEFINANCE(""NSE:""&amp;$A169,""marketcap""),"""")"),4.3490197365E11)</f>
        <v/>
      </c>
      <c r="L169" s="15">
        <f>IFERROR(K169/SUMIF($B$2:$B$214,B169,$K$2:$K$214),"")</f>
        <v/>
      </c>
      <c r="M169" s="16">
        <f>IFERROR(K169/SUM($K$2:$K$214),"")</f>
        <v/>
      </c>
      <c r="N169" t="n">
        <v>4</v>
      </c>
      <c r="O169" t="n">
        <v>0</v>
      </c>
      <c r="P169" s="19" t="n">
        <v>57.23</v>
      </c>
      <c r="R169" s="19" t="n">
        <v>63.89</v>
      </c>
      <c r="S169" t="inlineStr">
        <is>
          <t>BULLISH</t>
        </is>
      </c>
      <c r="T169" s="19" t="n">
        <v>58.43</v>
      </c>
      <c r="V169" t="n">
        <v>64.5</v>
      </c>
    </row>
    <row r="170" ht="15.75" customHeight="1" s="23">
      <c r="A170" s="10" t="inlineStr">
        <is>
          <t>RELIANCE</t>
        </is>
      </c>
      <c r="B170" s="11" t="inlineStr">
        <is>
          <t>Oil &amp; Gas</t>
        </is>
      </c>
      <c r="C170" s="12">
        <f>IFERROR(__xludf.DUMMYFUNCTION("GOOGLEFINANCE(""NSE:""&amp;$A170,""price"")"),1166.7)</f>
        <v/>
      </c>
      <c r="D170" s="12">
        <f>IFERROR(__xludf.DUMMYFUNCTION("GOOGLEFINANCE(""NSE:""&amp;$A170,""priceopen"")"),1158.9)</f>
        <v/>
      </c>
      <c r="E170" s="12">
        <f>IFERROR(__xludf.DUMMYFUNCTION("GOOGLEFINANCE(""NSE:""&amp;$A170,""high"")"),1168.3)</f>
        <v/>
      </c>
      <c r="F170" s="12">
        <f>IFERROR(__xludf.DUMMYFUNCTION("GOOGLEFINANCE(""NSE:""&amp;$A170,""low"")"),1152.2)</f>
        <v/>
      </c>
      <c r="G170" s="12">
        <f>IFERROR(__xludf.DUMMYFUNCTION("IFERROR(INDEX(GOOGLEFINANCE(""NSE:""&amp;$A170,""close"",TODAY()),2,2),C170)"),1166.7)</f>
        <v/>
      </c>
      <c r="H170" s="12">
        <f>IFERROR(__xludf.DUMMYFUNCTION("GOOGLEFINANCE(""NSE:""&amp;$A170,""closeyest"")"),1158.9)</f>
        <v/>
      </c>
      <c r="I170" s="12">
        <f>IFERROR(C170-H170,"")</f>
        <v/>
      </c>
      <c r="J170" s="13">
        <f>IFERROR((C170-H170)/H170,"")</f>
        <v/>
      </c>
      <c r="K170" s="17">
        <f>IFERROR(__xludf.DUMMYFUNCTION("IFERROR(GOOGLEFINANCE(""NSE:""&amp;$A170,""marketcap""),"""")"),1.5783793625424E13)</f>
        <v/>
      </c>
      <c r="L170" s="15">
        <f>IFERROR(K170/SUMIF($B$2:$B$214,B170,$K$2:$K$214),"")</f>
        <v/>
      </c>
      <c r="M170" s="16">
        <f>IFERROR(K170/SUM($K$2:$K$214),"")</f>
        <v/>
      </c>
      <c r="N170" t="n">
        <v>0</v>
      </c>
      <c r="O170" t="n">
        <v>3</v>
      </c>
      <c r="P170" s="19" t="n">
        <v>39</v>
      </c>
      <c r="R170" s="19" t="n">
        <v>32.54</v>
      </c>
      <c r="S170" t="inlineStr">
        <is>
          <t>NEUTRAL</t>
        </is>
      </c>
      <c r="T170" s="19" t="n">
        <v>33.97</v>
      </c>
      <c r="V170" t="n">
        <v>61.46</v>
      </c>
    </row>
    <row r="171" ht="15.75" customHeight="1" s="23">
      <c r="A171" s="10" t="inlineStr">
        <is>
          <t>ALKEM</t>
        </is>
      </c>
      <c r="B171" s="11" t="inlineStr">
        <is>
          <t>Pharma &amp; Healthcare</t>
        </is>
      </c>
      <c r="C171" s="12">
        <f>IFERROR(__xludf.DUMMYFUNCTION("GOOGLEFINANCE(""NSE:""&amp;$A171,""price"")"),5250.0)</f>
        <v/>
      </c>
      <c r="D171" s="12">
        <f>IFERROR(__xludf.DUMMYFUNCTION("GOOGLEFINANCE(""NSE:""&amp;$A171,""priceopen"")"),5206.0)</f>
        <v/>
      </c>
      <c r="E171" s="12">
        <f>IFERROR(__xludf.DUMMYFUNCTION("GOOGLEFINANCE(""NSE:""&amp;$A171,""high"")"),5288.5)</f>
        <v/>
      </c>
      <c r="F171" s="12">
        <f>IFERROR(__xludf.DUMMYFUNCTION("GOOGLEFINANCE(""NSE:""&amp;$A171,""low"")"),5172.0)</f>
        <v/>
      </c>
      <c r="G171" s="12">
        <f>IFERROR(__xludf.DUMMYFUNCTION("IFERROR(INDEX(GOOGLEFINANCE(""NSE:""&amp;$A171,""close"",TODAY()),2,2),C171)"),5250.0)</f>
        <v/>
      </c>
      <c r="H171" s="12">
        <f>IFERROR(__xludf.DUMMYFUNCTION("GOOGLEFINANCE(""NSE:""&amp;$A171,""closeyest"")"),5205.0)</f>
        <v/>
      </c>
      <c r="I171" s="12">
        <f>IFERROR(C171-H171,"")</f>
        <v/>
      </c>
      <c r="J171" s="13">
        <f>IFERROR((C171-H171)/H171,"")</f>
        <v/>
      </c>
      <c r="K171" s="17">
        <f>IFERROR(__xludf.DUMMYFUNCTION("IFERROR(GOOGLEFINANCE(""NSE:""&amp;$A171,""marketcap""),"""")"),6.27715725E11)</f>
        <v/>
      </c>
      <c r="L171" s="15">
        <f>IFERROR(K171/SUMIF($B$2:$B$214,B171,$K$2:$K$214),"")</f>
        <v/>
      </c>
      <c r="M171" s="16">
        <f>IFERROR(K171/SUM($K$2:$K$214),"")</f>
        <v/>
      </c>
      <c r="N171" t="n">
        <v>0</v>
      </c>
      <c r="O171" t="n">
        <v>2</v>
      </c>
      <c r="P171" s="19" t="n">
        <v>48.81</v>
      </c>
      <c r="R171" s="19" t="n">
        <v>37.09</v>
      </c>
      <c r="S171" t="inlineStr">
        <is>
          <t>NEUTRAL</t>
        </is>
      </c>
      <c r="T171" s="19" t="n">
        <v>38.54</v>
      </c>
      <c r="V171" t="n">
        <v>49.29</v>
      </c>
    </row>
    <row r="172" ht="15.75" customHeight="1" s="23">
      <c r="A172" s="10" t="inlineStr">
        <is>
          <t>APOLLOHOSP</t>
        </is>
      </c>
      <c r="B172" s="11" t="inlineStr">
        <is>
          <t>Pharma &amp; Healthcare</t>
        </is>
      </c>
      <c r="C172" s="12">
        <f>IFERROR(__xludf.DUMMYFUNCTION("GOOGLEFINANCE(""NSE:""&amp;$A172,""price"")"),7871.0)</f>
        <v/>
      </c>
      <c r="D172" s="12">
        <f>IFERROR(__xludf.DUMMYFUNCTION("GOOGLEFINANCE(""NSE:""&amp;$A172,""priceopen"")"),7775.0)</f>
        <v/>
      </c>
      <c r="E172" s="12">
        <f>IFERROR(__xludf.DUMMYFUNCTION("GOOGLEFINANCE(""NSE:""&amp;$A172,""high"")"),7924.0)</f>
        <v/>
      </c>
      <c r="F172" s="12">
        <f>IFERROR(__xludf.DUMMYFUNCTION("GOOGLEFINANCE(""NSE:""&amp;$A172,""low"")"),7688.0)</f>
        <v/>
      </c>
      <c r="G172" s="12">
        <f>IFERROR(__xludf.DUMMYFUNCTION("IFERROR(INDEX(GOOGLEFINANCE(""NSE:""&amp;$A172,""close"",TODAY()),2,2),C172)"),7871.0)</f>
        <v/>
      </c>
      <c r="H172" s="12">
        <f>IFERROR(__xludf.DUMMYFUNCTION("GOOGLEFINANCE(""NSE:""&amp;$A172,""closeyest"")"),7775.0)</f>
        <v/>
      </c>
      <c r="I172" s="12">
        <f>IFERROR(C172-H172,"")</f>
        <v/>
      </c>
      <c r="J172" s="13">
        <f>IFERROR((C172-H172)/H172,"")</f>
        <v/>
      </c>
      <c r="K172" s="17">
        <f>IFERROR(__xludf.DUMMYFUNCTION("IFERROR(GOOGLEFINANCE(""NSE:""&amp;$A172,""marketcap""),"""")"),1.1323948471E12)</f>
        <v/>
      </c>
      <c r="L172" s="15">
        <f>IFERROR(K172/SUMIF($B$2:$B$214,B172,$K$2:$K$214),"")</f>
        <v/>
      </c>
      <c r="M172" s="16">
        <f>IFERROR(K172/SUM($K$2:$K$214),"")</f>
        <v/>
      </c>
      <c r="N172" t="n">
        <v>0</v>
      </c>
      <c r="O172" t="n">
        <v>3</v>
      </c>
      <c r="P172" s="19" t="n">
        <v>52.27</v>
      </c>
      <c r="R172" s="19" t="n">
        <v>27.01</v>
      </c>
      <c r="S172" t="inlineStr">
        <is>
          <t>NEUTRAL</t>
        </is>
      </c>
      <c r="T172" s="19" t="n">
        <v>21.26</v>
      </c>
      <c r="V172" t="n">
        <v>55.38</v>
      </c>
    </row>
    <row r="173" ht="15.75" customHeight="1" s="23">
      <c r="A173" s="10" t="inlineStr">
        <is>
          <t>AUROPHARMA</t>
        </is>
      </c>
      <c r="B173" s="11" t="inlineStr">
        <is>
          <t>Pharma &amp; Healthcare</t>
        </is>
      </c>
      <c r="C173" s="12">
        <f>IFERROR(__xludf.DUMMYFUNCTION("GOOGLEFINANCE(""NSE:""&amp;$A173,""price"")"),1684.6)</f>
        <v/>
      </c>
      <c r="D173" s="12">
        <f>IFERROR(__xludf.DUMMYFUNCTION("GOOGLEFINANCE(""NSE:""&amp;$A173,""priceopen"")"),1706.9)</f>
        <v/>
      </c>
      <c r="E173" s="12">
        <f>IFERROR(__xludf.DUMMYFUNCTION("GOOGLEFINANCE(""NSE:""&amp;$A173,""high"")"),1706.9)</f>
        <v/>
      </c>
      <c r="F173" s="12">
        <f>IFERROR(__xludf.DUMMYFUNCTION("GOOGLEFINANCE(""NSE:""&amp;$A173,""low"")"),1665.5)</f>
        <v/>
      </c>
      <c r="G173" s="12">
        <f>IFERROR(__xludf.DUMMYFUNCTION("IFERROR(INDEX(GOOGLEFINANCE(""NSE:""&amp;$A173,""close"",TODAY()),2,2),C173)"),1684.6)</f>
        <v/>
      </c>
      <c r="H173" s="12">
        <f>IFERROR(__xludf.DUMMYFUNCTION("GOOGLEFINANCE(""NSE:""&amp;$A173,""closeyest"")"),1706.9)</f>
        <v/>
      </c>
      <c r="I173" s="12">
        <f>IFERROR(C173-H173,"")</f>
        <v/>
      </c>
      <c r="J173" s="13">
        <f>IFERROR((C173-H173)/H173,"")</f>
        <v/>
      </c>
      <c r="K173" s="17">
        <f>IFERROR(__xludf.DUMMYFUNCTION("IFERROR(GOOGLEFINANCE(""NSE:""&amp;$A173,""marketcap""),"""")"),9.69281427832E11)</f>
        <v/>
      </c>
      <c r="L173" s="15">
        <f>IFERROR(K173/SUMIF($B$2:$B$214,B173,$K$2:$K$214),"")</f>
        <v/>
      </c>
      <c r="M173" s="16">
        <f>IFERROR(K173/SUM($K$2:$K$214),"")</f>
        <v/>
      </c>
      <c r="N173" t="n">
        <v>2</v>
      </c>
      <c r="O173" t="n">
        <v>0</v>
      </c>
      <c r="P173" s="19" t="n">
        <v>88.23</v>
      </c>
      <c r="R173" s="19" t="n">
        <v>61.93</v>
      </c>
      <c r="S173" t="inlineStr">
        <is>
          <t>NEUTRAL</t>
        </is>
      </c>
      <c r="T173" s="19" t="n">
        <v>37.16</v>
      </c>
      <c r="V173" t="n">
        <v>30.72</v>
      </c>
    </row>
    <row r="174" ht="15.75" customHeight="1" s="23">
      <c r="A174" s="10" t="inlineStr">
        <is>
          <t>BIOCON</t>
        </is>
      </c>
      <c r="B174" s="11" t="inlineStr">
        <is>
          <t>Pharma &amp; Healthcare</t>
        </is>
      </c>
      <c r="C174" s="12">
        <f>IFERROR(__xludf.DUMMYFUNCTION("GOOGLEFINANCE(""NSE:""&amp;$A174,""price"")"),351.0)</f>
        <v/>
      </c>
      <c r="D174" s="12">
        <f>IFERROR(__xludf.DUMMYFUNCTION("GOOGLEFINANCE(""NSE:""&amp;$A174,""priceopen"")"),346.95)</f>
        <v/>
      </c>
      <c r="E174" s="12">
        <f>IFERROR(__xludf.DUMMYFUNCTION("GOOGLEFINANCE(""NSE:""&amp;$A174,""high"")"),351.3)</f>
        <v/>
      </c>
      <c r="F174" s="12">
        <f>IFERROR(__xludf.DUMMYFUNCTION("GOOGLEFINANCE(""NSE:""&amp;$A174,""low"")"),342.15)</f>
        <v/>
      </c>
      <c r="G174" s="12">
        <f>IFERROR(__xludf.DUMMYFUNCTION("IFERROR(INDEX(GOOGLEFINANCE(""NSE:""&amp;$A174,""close"",TODAY()),2,2),C174)"),351.0)</f>
        <v/>
      </c>
      <c r="H174" s="12">
        <f>IFERROR(__xludf.DUMMYFUNCTION("GOOGLEFINANCE(""NSE:""&amp;$A174,""closeyest"")"),346.35)</f>
        <v/>
      </c>
      <c r="I174" s="12">
        <f>IFERROR(C174-H174,"")</f>
        <v/>
      </c>
      <c r="J174" s="13">
        <f>IFERROR((C174-H174)/H174,"")</f>
        <v/>
      </c>
      <c r="K174" s="17">
        <f>IFERROR(__xludf.DUMMYFUNCTION("IFERROR(GOOGLEFINANCE(""NSE:""&amp;$A174,""marketcap""),"""")"),4.20645647872E11)</f>
        <v/>
      </c>
      <c r="L174" s="15">
        <f>IFERROR(K174/SUMIF($B$2:$B$214,B174,$K$2:$K$214),"")</f>
        <v/>
      </c>
      <c r="M174" s="16">
        <f>IFERROR(K174/SUM($K$2:$K$214),"")</f>
        <v/>
      </c>
      <c r="N174" t="n">
        <v>0</v>
      </c>
      <c r="O174" t="n">
        <v>3</v>
      </c>
      <c r="P174" s="19" t="n">
        <v>50.43</v>
      </c>
      <c r="R174" s="19" t="n">
        <v>18.85</v>
      </c>
      <c r="S174" t="inlineStr">
        <is>
          <t>NEUTRAL</t>
        </is>
      </c>
      <c r="T174" s="19" t="n">
        <v>12.18</v>
      </c>
      <c r="V174" t="n">
        <v>60.65</v>
      </c>
    </row>
    <row r="175" ht="15.75" customHeight="1" s="23">
      <c r="A175" s="10" t="inlineStr">
        <is>
          <t>CIPLA</t>
        </is>
      </c>
      <c r="B175" s="11" t="inlineStr">
        <is>
          <t>Pharma &amp; Healthcare</t>
        </is>
      </c>
      <c r="C175" s="12">
        <f>IFERROR(__xludf.DUMMYFUNCTION("GOOGLEFINANCE(""NSE:""&amp;$A175,""price"")"),1329.6)</f>
        <v/>
      </c>
      <c r="D175" s="12">
        <f>IFERROR(__xludf.DUMMYFUNCTION("GOOGLEFINANCE(""NSE:""&amp;$A175,""priceopen"")"),1315.0)</f>
        <v/>
      </c>
      <c r="E175" s="12">
        <f>IFERROR(__xludf.DUMMYFUNCTION("GOOGLEFINANCE(""NSE:""&amp;$A175,""high"")"),1329.6)</f>
        <v/>
      </c>
      <c r="F175" s="12">
        <f>IFERROR(__xludf.DUMMYFUNCTION("GOOGLEFINANCE(""NSE:""&amp;$A175,""low"")"),1303.0)</f>
        <v/>
      </c>
      <c r="G175" s="12">
        <f>IFERROR(__xludf.DUMMYFUNCTION("IFERROR(INDEX(GOOGLEFINANCE(""NSE:""&amp;$A175,""close"",TODAY()),2,2),C175)"),1329.6)</f>
        <v/>
      </c>
      <c r="H175" s="12">
        <f>IFERROR(__xludf.DUMMYFUNCTION("GOOGLEFINANCE(""NSE:""&amp;$A175,""closeyest"")"),1311.3)</f>
        <v/>
      </c>
      <c r="I175" s="12">
        <f>IFERROR(C175-H175,"")</f>
        <v/>
      </c>
      <c r="J175" s="13">
        <f>IFERROR((C175-H175)/H175,"")</f>
        <v/>
      </c>
      <c r="K175" s="17">
        <f>IFERROR(__xludf.DUMMYFUNCTION("IFERROR(GOOGLEFINANCE(""NSE:""&amp;$A175,""marketcap""),"""")"),1.075450369E12)</f>
        <v/>
      </c>
      <c r="L175" s="15">
        <f>IFERROR(K175/SUMIF($B$2:$B$214,B175,$K$2:$K$214),"")</f>
        <v/>
      </c>
      <c r="M175" s="16">
        <f>IFERROR(K175/SUM($K$2:$K$214),"")</f>
        <v/>
      </c>
      <c r="N175" t="n">
        <v>0</v>
      </c>
      <c r="O175" t="n">
        <v>7</v>
      </c>
      <c r="P175" s="19" t="n">
        <v>35.36</v>
      </c>
      <c r="R175" s="19" t="n">
        <v>31.89</v>
      </c>
      <c r="S175" t="inlineStr">
        <is>
          <t>STRONG BEARISH</t>
        </is>
      </c>
      <c r="T175" s="19" t="n">
        <v>29.69</v>
      </c>
      <c r="V175" t="n">
        <v>49.82</v>
      </c>
    </row>
    <row r="176" ht="15.75" customHeight="1" s="23">
      <c r="A176" s="10" t="inlineStr">
        <is>
          <t>DIVISLAB</t>
        </is>
      </c>
      <c r="B176" s="11" t="inlineStr">
        <is>
          <t>Pharma &amp; Healthcare</t>
        </is>
      </c>
      <c r="C176" s="12">
        <f>IFERROR(__xludf.DUMMYFUNCTION("GOOGLEFINANCE(""NSE:""&amp;$A176,""price"")"),9285.0)</f>
        <v/>
      </c>
      <c r="D176" s="12">
        <f>IFERROR(__xludf.DUMMYFUNCTION("GOOGLEFINANCE(""NSE:""&amp;$A176,""priceopen"")"),9411.0)</f>
        <v/>
      </c>
      <c r="E176" s="12">
        <f>IFERROR(__xludf.DUMMYFUNCTION("GOOGLEFINANCE(""NSE:""&amp;$A176,""high"")"),9423.5)</f>
        <v/>
      </c>
      <c r="F176" s="12">
        <f>IFERROR(__xludf.DUMMYFUNCTION("GOOGLEFINANCE(""NSE:""&amp;$A176,""low"")"),9164.5)</f>
        <v/>
      </c>
      <c r="G176" s="12">
        <f>IFERROR(__xludf.DUMMYFUNCTION("IFERROR(INDEX(GOOGLEFINANCE(""NSE:""&amp;$A176,""close"",TODAY()),2,2),C176)"),9285.0)</f>
        <v/>
      </c>
      <c r="H176" s="12">
        <f>IFERROR(__xludf.DUMMYFUNCTION("GOOGLEFINANCE(""NSE:""&amp;$A176,""closeyest"")"),9426.0)</f>
        <v/>
      </c>
      <c r="I176" s="12">
        <f>IFERROR(C176-H176,"")</f>
        <v/>
      </c>
      <c r="J176" s="13">
        <f>IFERROR((C176-H176)/H176,"")</f>
        <v/>
      </c>
      <c r="K176" s="17">
        <f>IFERROR(__xludf.DUMMYFUNCTION("IFERROR(GOOGLEFINANCE(""NSE:""&amp;$A176,""marketcap""),"""")"),2.468346475E12)</f>
        <v/>
      </c>
      <c r="L176" s="15">
        <f>IFERROR(K176/SUMIF($B$2:$B$214,B176,$K$2:$K$214),"")</f>
        <v/>
      </c>
      <c r="M176" s="16">
        <f>IFERROR(K176/SUM($K$2:$K$214),"")</f>
        <v/>
      </c>
      <c r="N176" t="n">
        <v>2</v>
      </c>
      <c r="O176" t="n">
        <v>5</v>
      </c>
      <c r="P176" s="19" t="n">
        <v>70.40000000000001</v>
      </c>
      <c r="R176" s="19" t="n">
        <v>78.63</v>
      </c>
      <c r="S176" t="inlineStr">
        <is>
          <t>NEUTRAL</t>
        </is>
      </c>
      <c r="T176" s="19" t="n">
        <v>31.12</v>
      </c>
      <c r="V176" t="n">
        <v>24.49</v>
      </c>
    </row>
    <row r="177" ht="15.75" customHeight="1" s="23">
      <c r="A177" s="10" t="inlineStr">
        <is>
          <t>DRREDDY</t>
        </is>
      </c>
      <c r="B177" s="11" t="inlineStr">
        <is>
          <t>Pharma &amp; Healthcare</t>
        </is>
      </c>
      <c r="C177" s="12">
        <f>IFERROR(__xludf.DUMMYFUNCTION("GOOGLEFINANCE(""NSE:""&amp;$A177,""price"")"),1240.0)</f>
        <v/>
      </c>
      <c r="D177" s="12">
        <f>IFERROR(__xludf.DUMMYFUNCTION("GOOGLEFINANCE(""NSE:""&amp;$A177,""priceopen"")"),1230.9)</f>
        <v/>
      </c>
      <c r="E177" s="12">
        <f>IFERROR(__xludf.DUMMYFUNCTION("GOOGLEFINANCE(""NSE:""&amp;$A177,""high"")"),1250.7)</f>
        <v/>
      </c>
      <c r="F177" s="12">
        <f>IFERROR(__xludf.DUMMYFUNCTION("GOOGLEFINANCE(""NSE:""&amp;$A177,""low"")"),1223.3)</f>
        <v/>
      </c>
      <c r="G177" s="12">
        <f>IFERROR(__xludf.DUMMYFUNCTION("IFERROR(INDEX(GOOGLEFINANCE(""NSE:""&amp;$A177,""close"",TODAY()),2,2),C177)"),1240.0)</f>
        <v/>
      </c>
      <c r="H177" s="12">
        <f>IFERROR(__xludf.DUMMYFUNCTION("GOOGLEFINANCE(""NSE:""&amp;$A177,""closeyest"")"),1229.4)</f>
        <v/>
      </c>
      <c r="I177" s="12">
        <f>IFERROR(C177-H177,"")</f>
        <v/>
      </c>
      <c r="J177" s="13">
        <f>IFERROR((C177-H177)/H177,"")</f>
        <v/>
      </c>
      <c r="K177" s="17">
        <f>IFERROR(__xludf.DUMMYFUNCTION("IFERROR(GOOGLEFINANCE(""NSE:""&amp;$A177,""marketcap""),"""")"),1.0567157917E10)</f>
        <v/>
      </c>
      <c r="L177" s="15">
        <f>IFERROR(K177/SUMIF($B$2:$B$214,B177,$K$2:$K$214),"")</f>
        <v/>
      </c>
      <c r="M177" s="16">
        <f>IFERROR(K177/SUM($K$2:$K$214),"")</f>
        <v/>
      </c>
      <c r="N177" t="n">
        <v>0</v>
      </c>
      <c r="O177" t="n">
        <v>1</v>
      </c>
      <c r="P177" s="19" t="n">
        <v>47.52</v>
      </c>
      <c r="R177" s="19" t="n">
        <v>45.07</v>
      </c>
      <c r="S177" t="inlineStr">
        <is>
          <t>NEUTRAL</t>
        </is>
      </c>
      <c r="T177" s="19" t="n">
        <v>51.05</v>
      </c>
      <c r="V177" t="n">
        <v>42.15</v>
      </c>
    </row>
    <row r="178" ht="15.75" customHeight="1" s="23">
      <c r="A178" s="10" t="inlineStr">
        <is>
          <t>FORTIS</t>
        </is>
      </c>
      <c r="B178" s="11" t="inlineStr">
        <is>
          <t>Pharma &amp; Healthcare</t>
        </is>
      </c>
      <c r="C178" s="12">
        <f>IFERROR(__xludf.DUMMYFUNCTION("GOOGLEFINANCE(""NSE:""&amp;$A178,""price"")"),756.4)</f>
        <v/>
      </c>
      <c r="D178" s="12">
        <f>IFERROR(__xludf.DUMMYFUNCTION("GOOGLEFINANCE(""NSE:""&amp;$A178,""priceopen"")"),757.0)</f>
        <v/>
      </c>
      <c r="E178" s="12">
        <f>IFERROR(__xludf.DUMMYFUNCTION("GOOGLEFINANCE(""NSE:""&amp;$A178,""high"")"),767.7)</f>
        <v/>
      </c>
      <c r="F178" s="12">
        <f>IFERROR(__xludf.DUMMYFUNCTION("GOOGLEFINANCE(""NSE:""&amp;$A178,""low"")"),745.2)</f>
        <v/>
      </c>
      <c r="G178" s="12">
        <f>IFERROR(__xludf.DUMMYFUNCTION("IFERROR(INDEX(GOOGLEFINANCE(""NSE:""&amp;$A178,""close"",TODAY()),2,2),C178)"),756.4)</f>
        <v/>
      </c>
      <c r="H178" s="12">
        <f>IFERROR(__xludf.DUMMYFUNCTION("GOOGLEFINANCE(""NSE:""&amp;$A178,""closeyest"")"),757.25)</f>
        <v/>
      </c>
      <c r="I178" s="12">
        <f>IFERROR(C178-H178,"")</f>
        <v/>
      </c>
      <c r="J178" s="13">
        <f>IFERROR((C178-H178)/H178,"")</f>
        <v/>
      </c>
      <c r="K178" s="17">
        <f>IFERROR(__xludf.DUMMYFUNCTION("IFERROR(GOOGLEFINANCE(""NSE:""&amp;$A178,""marketcap""),"""")"),5.704063848E11)</f>
        <v/>
      </c>
      <c r="L178" s="15">
        <f>IFERROR(K178/SUMIF($B$2:$B$214,B178,$K$2:$K$214),"")</f>
        <v/>
      </c>
      <c r="M178" s="16">
        <f>IFERROR(K178/SUM($K$2:$K$214),"")</f>
        <v/>
      </c>
      <c r="N178" t="n">
        <v>0</v>
      </c>
      <c r="O178" t="n">
        <v>3</v>
      </c>
      <c r="P178" s="19" t="n">
        <v>40.97</v>
      </c>
      <c r="R178" s="19" t="n">
        <v>11.13</v>
      </c>
      <c r="S178" t="inlineStr">
        <is>
          <t>NEUTRAL</t>
        </is>
      </c>
      <c r="T178" s="19" t="n">
        <v>21.33</v>
      </c>
      <c r="V178" t="n">
        <v>43.15</v>
      </c>
    </row>
    <row r="179" ht="15.75" customHeight="1" s="23">
      <c r="A179" s="10" t="inlineStr">
        <is>
          <t>GLENMARK</t>
        </is>
      </c>
      <c r="B179" s="11" t="inlineStr">
        <is>
          <t>Pharma &amp; Healthcare</t>
        </is>
      </c>
      <c r="C179" s="12">
        <f>IFERROR(__xludf.DUMMYFUNCTION("GOOGLEFINANCE(""NSE:""&amp;$A179,""price"")"),2265.3)</f>
        <v/>
      </c>
      <c r="D179" s="12">
        <f>IFERROR(__xludf.DUMMYFUNCTION("GOOGLEFINANCE(""NSE:""&amp;$A179,""priceopen"")"),2278.0)</f>
        <v/>
      </c>
      <c r="E179" s="12">
        <f>IFERROR(__xludf.DUMMYFUNCTION("GOOGLEFINANCE(""NSE:""&amp;$A179,""high"")"),2289.3)</f>
        <v/>
      </c>
      <c r="F179" s="12">
        <f>IFERROR(__xludf.DUMMYFUNCTION("GOOGLEFINANCE(""NSE:""&amp;$A179,""low"")"),2253.0)</f>
        <v/>
      </c>
      <c r="G179" s="12">
        <f>IFERROR(__xludf.DUMMYFUNCTION("IFERROR(INDEX(GOOGLEFINANCE(""NSE:""&amp;$A179,""close"",TODAY()),2,2),C179)"),2265.3)</f>
        <v/>
      </c>
      <c r="H179" s="12">
        <f>IFERROR(__xludf.DUMMYFUNCTION("GOOGLEFINANCE(""NSE:""&amp;$A179,""closeyest"")"),2283.0)</f>
        <v/>
      </c>
      <c r="I179" s="12">
        <f>IFERROR(C179-H179,"")</f>
        <v/>
      </c>
      <c r="J179" s="13">
        <f>IFERROR((C179-H179)/H179,"")</f>
        <v/>
      </c>
      <c r="K179" s="17">
        <f>IFERROR(__xludf.DUMMYFUNCTION("IFERROR(GOOGLEFINANCE(""NSE:""&amp;$A179,""marketcap""),"""")"),6.3932340016E11)</f>
        <v/>
      </c>
      <c r="L179" s="15">
        <f>IFERROR(K179/SUMIF($B$2:$B$214,B179,$K$2:$K$214),"")</f>
        <v/>
      </c>
      <c r="M179" s="16">
        <f>IFERROR(K179/SUM($K$2:$K$214),"")</f>
        <v/>
      </c>
      <c r="N179" t="n">
        <v>0</v>
      </c>
      <c r="O179" t="n">
        <v>6</v>
      </c>
      <c r="P179" s="19" t="n">
        <v>62.03</v>
      </c>
      <c r="R179" s="19" t="n">
        <v>47.65</v>
      </c>
      <c r="S179" t="inlineStr">
        <is>
          <t>BEARISH</t>
        </is>
      </c>
      <c r="T179" s="19" t="n">
        <v>33.51</v>
      </c>
      <c r="V179" t="n">
        <v>32.84</v>
      </c>
    </row>
    <row r="180" ht="15.75" customHeight="1" s="23">
      <c r="A180" s="10" t="inlineStr">
        <is>
          <t>LAURUSLABS</t>
        </is>
      </c>
      <c r="B180" s="11" t="inlineStr">
        <is>
          <t>Pharma &amp; Healthcare</t>
        </is>
      </c>
      <c r="C180" s="12">
        <f>IFERROR(__xludf.DUMMYFUNCTION("GOOGLEFINANCE(""NSE:""&amp;$A180,""price"")"),2059.4)</f>
        <v/>
      </c>
      <c r="D180" s="12">
        <f>IFERROR(__xludf.DUMMYFUNCTION("GOOGLEFINANCE(""NSE:""&amp;$A180,""priceopen"")"),2047.1)</f>
        <v/>
      </c>
      <c r="E180" s="12">
        <f>IFERROR(__xludf.DUMMYFUNCTION("GOOGLEFINANCE(""NSE:""&amp;$A180,""high"")"),2065.0)</f>
        <v/>
      </c>
      <c r="F180" s="12">
        <f>IFERROR(__xludf.DUMMYFUNCTION("GOOGLEFINANCE(""NSE:""&amp;$A180,""low"")"),2007.8)</f>
        <v/>
      </c>
      <c r="G180" s="12">
        <f>IFERROR(__xludf.DUMMYFUNCTION("IFERROR(INDEX(GOOGLEFINANCE(""NSE:""&amp;$A180,""close"",TODAY()),2,2),C180)"),2059.4)</f>
        <v/>
      </c>
      <c r="H180" s="12">
        <f>IFERROR(__xludf.DUMMYFUNCTION("GOOGLEFINANCE(""NSE:""&amp;$A180,""closeyest"")"),2069.2)</f>
        <v/>
      </c>
      <c r="I180" s="12">
        <f>IFERROR(C180-H180,"")</f>
        <v/>
      </c>
      <c r="J180" s="13">
        <f>IFERROR((C180-H180)/H180,"")</f>
        <v/>
      </c>
      <c r="K180" s="17">
        <f>IFERROR(__xludf.DUMMYFUNCTION("IFERROR(GOOGLEFINANCE(""NSE:""&amp;$A180,""marketcap""),"""")"),1.105702938444E12)</f>
        <v/>
      </c>
      <c r="L180" s="15">
        <f>IFERROR(K180/SUMIF($B$2:$B$214,B180,$K$2:$K$214),"")</f>
        <v/>
      </c>
      <c r="M180" s="16">
        <f>IFERROR(K180/SUM($K$2:$K$214),"")</f>
        <v/>
      </c>
      <c r="N180" t="n">
        <v>2</v>
      </c>
      <c r="O180" t="n">
        <v>2</v>
      </c>
      <c r="P180" s="19" t="n">
        <v>85.52</v>
      </c>
      <c r="R180" s="19" t="n">
        <v>77.66</v>
      </c>
      <c r="S180" t="inlineStr">
        <is>
          <t>NEUTRAL</t>
        </is>
      </c>
      <c r="T180" s="19" t="n">
        <v>50.45</v>
      </c>
      <c r="V180" t="n">
        <v>40.13</v>
      </c>
    </row>
    <row r="181" ht="15.75" customHeight="1" s="23">
      <c r="A181" s="10" t="inlineStr">
        <is>
          <t>LUPIN</t>
        </is>
      </c>
      <c r="B181" s="11" t="inlineStr">
        <is>
          <t>Pharma &amp; Healthcare</t>
        </is>
      </c>
      <c r="C181" s="12">
        <f>IFERROR(__xludf.DUMMYFUNCTION("GOOGLEFINANCE(""NSE:""&amp;$A181,""price"")"),1953.6)</f>
        <v/>
      </c>
      <c r="D181" s="12">
        <f>IFERROR(__xludf.DUMMYFUNCTION("GOOGLEFINANCE(""NSE:""&amp;$A181,""priceopen"")"),1935.0)</f>
        <v/>
      </c>
      <c r="E181" s="12">
        <f>IFERROR(__xludf.DUMMYFUNCTION("GOOGLEFINANCE(""NSE:""&amp;$A181,""high"")"),1958.4)</f>
        <v/>
      </c>
      <c r="F181" s="12">
        <f>IFERROR(__xludf.DUMMYFUNCTION("GOOGLEFINANCE(""NSE:""&amp;$A181,""low"")"),1926.5)</f>
        <v/>
      </c>
      <c r="G181" s="12">
        <f>IFERROR(__xludf.DUMMYFUNCTION("IFERROR(INDEX(GOOGLEFINANCE(""NSE:""&amp;$A181,""close"",TODAY()),2,2),C181)"),1953.6)</f>
        <v/>
      </c>
      <c r="H181" s="12">
        <f>IFERROR(__xludf.DUMMYFUNCTION("GOOGLEFINANCE(""NSE:""&amp;$A181,""closeyest"")"),1935.0)</f>
        <v/>
      </c>
      <c r="I181" s="12">
        <f>IFERROR(C181-H181,"")</f>
        <v/>
      </c>
      <c r="J181" s="13">
        <f>IFERROR((C181-H181)/H181,"")</f>
        <v/>
      </c>
      <c r="K181" s="17">
        <f>IFERROR(__xludf.DUMMYFUNCTION("IFERROR(GOOGLEFINANCE(""NSE:""&amp;$A181,""marketcap""),"""")"),8.94803112E11)</f>
        <v/>
      </c>
      <c r="L181" s="15">
        <f>IFERROR(K181/SUMIF($B$2:$B$214,B181,$K$2:$K$214),"")</f>
        <v/>
      </c>
      <c r="M181" s="16">
        <f>IFERROR(K181/SUM($K$2:$K$214),"")</f>
        <v/>
      </c>
      <c r="N181" t="n">
        <v>0</v>
      </c>
      <c r="O181" t="n">
        <v>3</v>
      </c>
      <c r="P181" s="19" t="n">
        <v>53.31</v>
      </c>
      <c r="R181" s="19" t="n">
        <v>8.460000000000001</v>
      </c>
      <c r="S181" t="inlineStr">
        <is>
          <t>NEUTRAL</t>
        </is>
      </c>
      <c r="T181" s="19" t="n">
        <v>21.73</v>
      </c>
      <c r="V181" t="n">
        <v>59.44</v>
      </c>
    </row>
    <row r="182" ht="15.75" customHeight="1" s="23">
      <c r="A182" s="10" t="inlineStr">
        <is>
          <t>MANKIND</t>
        </is>
      </c>
      <c r="B182" s="11" t="inlineStr">
        <is>
          <t>Pharma &amp; Healthcare</t>
        </is>
      </c>
      <c r="C182" s="12">
        <f>IFERROR(__xludf.DUMMYFUNCTION("GOOGLEFINANCE(""NSE:""&amp;$A182,""price"")"),2372.0)</f>
        <v/>
      </c>
      <c r="D182" s="12">
        <f>IFERROR(__xludf.DUMMYFUNCTION("GOOGLEFINANCE(""NSE:""&amp;$A182,""priceopen"")"),2400.0)</f>
        <v/>
      </c>
      <c r="E182" s="12">
        <f>IFERROR(__xludf.DUMMYFUNCTION("GOOGLEFINANCE(""NSE:""&amp;$A182,""high"")"),2401.1)</f>
        <v/>
      </c>
      <c r="F182" s="12">
        <f>IFERROR(__xludf.DUMMYFUNCTION("GOOGLEFINANCE(""NSE:""&amp;$A182,""low"")"),2356.2)</f>
        <v/>
      </c>
      <c r="G182" s="12">
        <f>IFERROR(__xludf.DUMMYFUNCTION("IFERROR(INDEX(GOOGLEFINANCE(""NSE:""&amp;$A182,""close"",TODAY()),2,2),C182)"),2372.0)</f>
        <v/>
      </c>
      <c r="H182" s="12">
        <f>IFERROR(__xludf.DUMMYFUNCTION("GOOGLEFINANCE(""NSE:""&amp;$A182,""closeyest"")"),2400.0)</f>
        <v/>
      </c>
      <c r="I182" s="12">
        <f>IFERROR(C182-H182,"")</f>
        <v/>
      </c>
      <c r="J182" s="13">
        <f>IFERROR((C182-H182)/H182,"")</f>
        <v/>
      </c>
      <c r="K182" s="17">
        <f>IFERROR(__xludf.DUMMYFUNCTION("IFERROR(GOOGLEFINANCE(""NSE:""&amp;$A182,""marketcap""),"""")"),9.761310515E11)</f>
        <v/>
      </c>
      <c r="L182" s="15">
        <f>IFERROR(K182/SUMIF($B$2:$B$214,B182,$K$2:$K$214),"")</f>
        <v/>
      </c>
      <c r="M182" s="16">
        <f>IFERROR(K182/SUM($K$2:$K$214),"")</f>
        <v/>
      </c>
      <c r="N182" t="n">
        <v>0</v>
      </c>
      <c r="O182" t="n">
        <v>2</v>
      </c>
      <c r="P182" s="19" t="n">
        <v>45.82</v>
      </c>
      <c r="R182" s="19" t="n">
        <v>37.26</v>
      </c>
      <c r="S182" t="inlineStr">
        <is>
          <t>NEUTRAL</t>
        </is>
      </c>
      <c r="T182" s="19" t="n">
        <v>38.91</v>
      </c>
      <c r="V182" t="n">
        <v>21.92</v>
      </c>
    </row>
    <row r="183" ht="15.75" customHeight="1" s="23">
      <c r="A183" s="10" t="inlineStr">
        <is>
          <t>MAXHEALTH</t>
        </is>
      </c>
      <c r="B183" s="11" t="inlineStr">
        <is>
          <t>Pharma &amp; Healthcare</t>
        </is>
      </c>
      <c r="C183" s="12">
        <f>IFERROR(__xludf.DUMMYFUNCTION("GOOGLEFINANCE(""NSE:""&amp;$A183,""price"")"),861.0)</f>
        <v/>
      </c>
      <c r="D183" s="12">
        <f>IFERROR(__xludf.DUMMYFUNCTION("GOOGLEFINANCE(""NSE:""&amp;$A183,""priceopen"")"),860.0)</f>
        <v/>
      </c>
      <c r="E183" s="12">
        <f>IFERROR(__xludf.DUMMYFUNCTION("GOOGLEFINANCE(""NSE:""&amp;$A183,""high"")"),863.65)</f>
        <v/>
      </c>
      <c r="F183" s="12">
        <f>IFERROR(__xludf.DUMMYFUNCTION("GOOGLEFINANCE(""NSE:""&amp;$A183,""low"")"),842.05)</f>
        <v/>
      </c>
      <c r="G183" s="12">
        <f>IFERROR(__xludf.DUMMYFUNCTION("IFERROR(INDEX(GOOGLEFINANCE(""NSE:""&amp;$A183,""close"",TODAY()),2,2),C183)"),861.0)</f>
        <v/>
      </c>
      <c r="H183" s="12">
        <f>IFERROR(__xludf.DUMMYFUNCTION("GOOGLEFINANCE(""NSE:""&amp;$A183,""closeyest"")"),865.95)</f>
        <v/>
      </c>
      <c r="I183" s="12">
        <f>IFERROR(C183-H183,"")</f>
        <v/>
      </c>
      <c r="J183" s="13">
        <f>IFERROR((C183-H183)/H183,"")</f>
        <v/>
      </c>
      <c r="K183" s="17">
        <f>IFERROR(__xludf.DUMMYFUNCTION("IFERROR(GOOGLEFINANCE(""NSE:""&amp;$A183,""marketcap""),"""")"),8.42803789511E11)</f>
        <v/>
      </c>
      <c r="L183" s="15">
        <f>IFERROR(K183/SUMIF($B$2:$B$214,B183,$K$2:$K$214),"")</f>
        <v/>
      </c>
      <c r="M183" s="16">
        <f>IFERROR(K183/SUM($K$2:$K$214),"")</f>
        <v/>
      </c>
      <c r="N183" t="n">
        <v>0</v>
      </c>
      <c r="O183" t="n">
        <v>3</v>
      </c>
      <c r="P183" s="19" t="n">
        <v>35.79</v>
      </c>
      <c r="R183" s="19" t="n">
        <v>21.54</v>
      </c>
      <c r="S183" t="inlineStr">
        <is>
          <t>NEUTRAL</t>
        </is>
      </c>
      <c r="T183" s="19" t="n">
        <v>10.34</v>
      </c>
      <c r="V183" t="n">
        <v>40.89</v>
      </c>
    </row>
    <row r="184" ht="15.75" customHeight="1" s="23">
      <c r="A184" s="10" t="inlineStr">
        <is>
          <t>SUNPHARMA</t>
        </is>
      </c>
      <c r="B184" s="11" t="inlineStr">
        <is>
          <t>Pharma &amp; Healthcare</t>
        </is>
      </c>
      <c r="C184" s="12">
        <f>IFERROR(__xludf.DUMMYFUNCTION("GOOGLEFINANCE(""NSE:""&amp;$A184,""price"")"),1770.7)</f>
        <v/>
      </c>
      <c r="D184" s="12">
        <f>IFERROR(__xludf.DUMMYFUNCTION("GOOGLEFINANCE(""NSE:""&amp;$A184,""priceopen"")"),1760.0)</f>
        <v/>
      </c>
      <c r="E184" s="12">
        <f>IFERROR(__xludf.DUMMYFUNCTION("GOOGLEFINANCE(""NSE:""&amp;$A184,""high"")"),1770.7)</f>
        <v/>
      </c>
      <c r="F184" s="12">
        <f>IFERROR(__xludf.DUMMYFUNCTION("GOOGLEFINANCE(""NSE:""&amp;$A184,""low"")"),1750.6)</f>
        <v/>
      </c>
      <c r="G184" s="12">
        <f>IFERROR(__xludf.DUMMYFUNCTION("IFERROR(INDEX(GOOGLEFINANCE(""NSE:""&amp;$A184,""close"",TODAY()),2,2),C184)"),1770.7)</f>
        <v/>
      </c>
      <c r="H184" s="12">
        <f>IFERROR(__xludf.DUMMYFUNCTION("GOOGLEFINANCE(""NSE:""&amp;$A184,""closeyest"")"),1760.0)</f>
        <v/>
      </c>
      <c r="I184" s="12">
        <f>IFERROR(C184-H184,"")</f>
        <v/>
      </c>
      <c r="J184" s="13">
        <f>IFERROR((C184-H184)/H184,"")</f>
        <v/>
      </c>
      <c r="K184" s="17">
        <f>IFERROR(__xludf.DUMMYFUNCTION("IFERROR(GOOGLEFINANCE(""NSE:""&amp;$A184,""marketcap""),"""")"),4.242892620846E12)</f>
        <v/>
      </c>
      <c r="L184" s="15">
        <f>IFERROR(K184/SUMIF($B$2:$B$214,B184,$K$2:$K$214),"")</f>
        <v/>
      </c>
      <c r="M184" s="16">
        <f>IFERROR(K184/SUM($K$2:$K$214),"")</f>
        <v/>
      </c>
      <c r="N184" t="n">
        <v>0</v>
      </c>
      <c r="O184" t="n">
        <v>3</v>
      </c>
      <c r="P184" s="19" t="n">
        <v>57.29</v>
      </c>
      <c r="R184" s="19" t="n">
        <v>24.44</v>
      </c>
      <c r="S184" t="inlineStr">
        <is>
          <t>NEUTRAL</t>
        </is>
      </c>
      <c r="T184" s="19" t="n">
        <v>26.07</v>
      </c>
      <c r="V184" t="n">
        <v>43.75</v>
      </c>
    </row>
    <row r="185" ht="15.75" customHeight="1" s="23">
      <c r="A185" s="10" t="inlineStr">
        <is>
          <t>TORNTPHARM</t>
        </is>
      </c>
      <c r="B185" s="11" t="inlineStr">
        <is>
          <t>Pharma &amp; Healthcare</t>
        </is>
      </c>
      <c r="C185" s="12">
        <f>IFERROR(__xludf.DUMMYFUNCTION("GOOGLEFINANCE(""NSE:""&amp;$A185,""price"")"),4642.9)</f>
        <v/>
      </c>
      <c r="D185" s="12">
        <f>IFERROR(__xludf.DUMMYFUNCTION("GOOGLEFINANCE(""NSE:""&amp;$A185,""priceopen"")"),4665.0)</f>
        <v/>
      </c>
      <c r="E185" s="12">
        <f>IFERROR(__xludf.DUMMYFUNCTION("GOOGLEFINANCE(""NSE:""&amp;$A185,""high"")"),4667.9)</f>
        <v/>
      </c>
      <c r="F185" s="12">
        <f>IFERROR(__xludf.DUMMYFUNCTION("GOOGLEFINANCE(""NSE:""&amp;$A185,""low"")"),4603.9)</f>
        <v/>
      </c>
      <c r="G185" s="12">
        <f>IFERROR(__xludf.DUMMYFUNCTION("IFERROR(INDEX(GOOGLEFINANCE(""NSE:""&amp;$A185,""close"",TODAY()),2,2),C185)"),4642.9)</f>
        <v/>
      </c>
      <c r="H185" s="12">
        <f>IFERROR(__xludf.DUMMYFUNCTION("GOOGLEFINANCE(""NSE:""&amp;$A185,""closeyest"")"),4682.0)</f>
        <v/>
      </c>
      <c r="I185" s="12">
        <f>IFERROR(C185-H185,"")</f>
        <v/>
      </c>
      <c r="J185" s="13">
        <f>IFERROR((C185-H185)/H185,"")</f>
        <v/>
      </c>
      <c r="K185" s="17">
        <f>IFERROR(__xludf.DUMMYFUNCTION("IFERROR(GOOGLEFINANCE(""NSE:""&amp;$A185,""marketcap""),"""")"),1.569065229E12)</f>
        <v/>
      </c>
      <c r="L185" s="15">
        <f>IFERROR(K185/SUMIF($B$2:$B$214,B185,$K$2:$K$214),"")</f>
        <v/>
      </c>
      <c r="M185" s="16">
        <f>IFERROR(K185/SUM($K$2:$K$214),"")</f>
        <v/>
      </c>
      <c r="N185" t="n">
        <v>2</v>
      </c>
      <c r="O185" t="n">
        <v>2</v>
      </c>
      <c r="P185" s="19" t="n">
        <v>70.88</v>
      </c>
      <c r="R185" s="19" t="n">
        <v>41.92</v>
      </c>
      <c r="S185" t="inlineStr">
        <is>
          <t>NEUTRAL</t>
        </is>
      </c>
      <c r="T185" s="19" t="n">
        <v>21.65</v>
      </c>
      <c r="V185" t="n">
        <v>25.53</v>
      </c>
    </row>
    <row r="186" ht="15.75" customHeight="1" s="23">
      <c r="A186" s="10" t="inlineStr">
        <is>
          <t>ZYDUSLIFE</t>
        </is>
      </c>
      <c r="B186" s="11" t="inlineStr">
        <is>
          <t>Pharma &amp; Healthcare</t>
        </is>
      </c>
      <c r="C186" s="12">
        <f>IFERROR(__xludf.DUMMYFUNCTION("GOOGLEFINANCE(""NSE:""&amp;$A186,""price"")"),1132.5)</f>
        <v/>
      </c>
      <c r="D186" s="12">
        <f>IFERROR(__xludf.DUMMYFUNCTION("GOOGLEFINANCE(""NSE:""&amp;$A186,""priceopen"")"),1136.1)</f>
        <v/>
      </c>
      <c r="E186" s="12">
        <f>IFERROR(__xludf.DUMMYFUNCTION("GOOGLEFINANCE(""NSE:""&amp;$A186,""high"")"),1139.8)</f>
        <v/>
      </c>
      <c r="F186" s="12">
        <f>IFERROR(__xludf.DUMMYFUNCTION("GOOGLEFINANCE(""NSE:""&amp;$A186,""low"")"),1112.3)</f>
        <v/>
      </c>
      <c r="G186" s="12">
        <f>IFERROR(__xludf.DUMMYFUNCTION("IFERROR(INDEX(GOOGLEFINANCE(""NSE:""&amp;$A186,""close"",TODAY()),2,2),C186)"),1132.5)</f>
        <v/>
      </c>
      <c r="H186" s="12">
        <f>IFERROR(__xludf.DUMMYFUNCTION("GOOGLEFINANCE(""NSE:""&amp;$A186,""closeyest"")"),1134.4)</f>
        <v/>
      </c>
      <c r="I186" s="12">
        <f>IFERROR(C186-H186,"")</f>
        <v/>
      </c>
      <c r="J186" s="13">
        <f>IFERROR((C186-H186)/H186,"")</f>
        <v/>
      </c>
      <c r="K186" s="17">
        <f>IFERROR(__xludf.DUMMYFUNCTION("IFERROR(GOOGLEFINANCE(""NSE:""&amp;$A186,""marketcap""),"""")"),1.12967271375E12)</f>
        <v/>
      </c>
      <c r="L186" s="15">
        <f>IFERROR(K186/SUMIF($B$2:$B$214,B186,$K$2:$K$214),"")</f>
        <v/>
      </c>
      <c r="M186" s="16">
        <f>IFERROR(K186/SUM($K$2:$K$214),"")</f>
        <v/>
      </c>
      <c r="N186" t="n">
        <v>0</v>
      </c>
      <c r="O186" t="n">
        <v>1</v>
      </c>
      <c r="P186" s="19" t="n">
        <v>64.08</v>
      </c>
      <c r="R186" s="19" t="n">
        <v>47.08</v>
      </c>
      <c r="S186" t="inlineStr">
        <is>
          <t>NEUTRAL</t>
        </is>
      </c>
      <c r="T186" s="19" t="n">
        <v>39.73</v>
      </c>
      <c r="V186" t="n">
        <v>44.51</v>
      </c>
    </row>
    <row r="187" ht="15.75" customHeight="1" s="23">
      <c r="A187" s="10" t="inlineStr">
        <is>
          <t>ADANIENSOL</t>
        </is>
      </c>
      <c r="B187" s="11" t="inlineStr">
        <is>
          <t>Power</t>
        </is>
      </c>
      <c r="C187" s="12">
        <f>IFERROR(__xludf.DUMMYFUNCTION("GOOGLEFINANCE(""NSE:""&amp;$A187,""price"")"),1296.9)</f>
        <v/>
      </c>
      <c r="D187" s="12">
        <f>IFERROR(__xludf.DUMMYFUNCTION("GOOGLEFINANCE(""NSE:""&amp;$A187,""priceopen"")"),1280.0)</f>
        <v/>
      </c>
      <c r="E187" s="12">
        <f>IFERROR(__xludf.DUMMYFUNCTION("GOOGLEFINANCE(""NSE:""&amp;$A187,""high"")"),1299.0)</f>
        <v/>
      </c>
      <c r="F187" s="12">
        <f>IFERROR(__xludf.DUMMYFUNCTION("GOOGLEFINANCE(""NSE:""&amp;$A187,""low"")"),1261.9)</f>
        <v/>
      </c>
      <c r="G187" s="12">
        <f>IFERROR(__xludf.DUMMYFUNCTION("IFERROR(INDEX(GOOGLEFINANCE(""NSE:""&amp;$A187,""close"",TODAY()),2,2),C187)"),1296.9)</f>
        <v/>
      </c>
      <c r="H187" s="12">
        <f>IFERROR(__xludf.DUMMYFUNCTION("GOOGLEFINANCE(""NSE:""&amp;$A187,""closeyest"")"),1280.0)</f>
        <v/>
      </c>
      <c r="I187" s="12">
        <f>IFERROR(C187-H187,"")</f>
        <v/>
      </c>
      <c r="J187" s="13">
        <f>IFERROR((C187-H187)/H187,"")</f>
        <v/>
      </c>
      <c r="K187" s="17">
        <f>IFERROR(__xludf.DUMMYFUNCTION("IFERROR(GOOGLEFINANCE(""NSE:""&amp;$A187,""marketcap""),"""")"),1.586049072457E12)</f>
        <v/>
      </c>
      <c r="L187" s="15">
        <f>IFERROR(K187/SUMIF($B$2:$B$214,B187,$K$2:$K$214),"")</f>
        <v/>
      </c>
      <c r="M187" s="16">
        <f>IFERROR(K187/SUM($K$2:$K$214),"")</f>
        <v/>
      </c>
      <c r="N187" t="n">
        <v>0</v>
      </c>
      <c r="O187" t="n">
        <v>2</v>
      </c>
      <c r="P187" s="19" t="n">
        <v>67.40000000000001</v>
      </c>
      <c r="R187" s="19" t="n">
        <v>32.66</v>
      </c>
      <c r="S187" t="inlineStr">
        <is>
          <t>NEUTRAL</t>
        </is>
      </c>
      <c r="T187" s="19" t="n">
        <v>47.85</v>
      </c>
      <c r="V187" t="n">
        <v>93.90000000000001</v>
      </c>
    </row>
    <row r="188" ht="15.75" customHeight="1" s="23">
      <c r="A188" s="10" t="inlineStr">
        <is>
          <t>ADANIGREEN</t>
        </is>
      </c>
      <c r="B188" s="11" t="inlineStr">
        <is>
          <t>Power</t>
        </is>
      </c>
      <c r="C188" s="12">
        <f>IFERROR(__xludf.DUMMYFUNCTION("GOOGLEFINANCE(""NSE:""&amp;$A188,""price"")"),1287.0)</f>
        <v/>
      </c>
      <c r="D188" s="12">
        <f>IFERROR(__xludf.DUMMYFUNCTION("GOOGLEFINANCE(""NSE:""&amp;$A188,""priceopen"")"),1271.8)</f>
        <v/>
      </c>
      <c r="E188" s="12">
        <f>IFERROR(__xludf.DUMMYFUNCTION("GOOGLEFINANCE(""NSE:""&amp;$A188,""high"")"),1287.8)</f>
        <v/>
      </c>
      <c r="F188" s="12">
        <f>IFERROR(__xludf.DUMMYFUNCTION("GOOGLEFINANCE(""NSE:""&amp;$A188,""low"")"),1256.0)</f>
        <v/>
      </c>
      <c r="G188" s="12">
        <f>IFERROR(__xludf.DUMMYFUNCTION("IFERROR(INDEX(GOOGLEFINANCE(""NSE:""&amp;$A188,""close"",TODAY()),2,2),C188)"),1287.0)</f>
        <v/>
      </c>
      <c r="H188" s="12">
        <f>IFERROR(__xludf.DUMMYFUNCTION("GOOGLEFINANCE(""NSE:""&amp;$A188,""closeyest"")"),1274.0)</f>
        <v/>
      </c>
      <c r="I188" s="12">
        <f>IFERROR(C188-H188,"")</f>
        <v/>
      </c>
      <c r="J188" s="13">
        <f>IFERROR((C188-H188)/H188,"")</f>
        <v/>
      </c>
      <c r="K188" s="17">
        <f>IFERROR(__xludf.DUMMYFUNCTION("IFERROR(GOOGLEFINANCE(""NSE:""&amp;$A188,""marketcap""),"""")"),2.084647547933E12)</f>
        <v/>
      </c>
      <c r="L188" s="15">
        <f>IFERROR(K188/SUMIF($B$2:$B$214,B188,$K$2:$K$214),"")</f>
        <v/>
      </c>
      <c r="M188" s="16">
        <f>IFERROR(K188/SUM($K$2:$K$214),"")</f>
        <v/>
      </c>
      <c r="N188" t="n">
        <v>0</v>
      </c>
      <c r="O188" t="n">
        <v>2</v>
      </c>
      <c r="P188" s="19" t="n">
        <v>61.15</v>
      </c>
      <c r="R188" s="19" t="n">
        <v>25.74</v>
      </c>
      <c r="S188" t="inlineStr">
        <is>
          <t>NEUTRAL</t>
        </is>
      </c>
      <c r="T188" s="19" t="n">
        <v>52.2</v>
      </c>
      <c r="V188" t="n">
        <v>82.05</v>
      </c>
    </row>
    <row r="189" ht="15.75" customHeight="1" s="23">
      <c r="A189" s="10" t="inlineStr">
        <is>
          <t>ADANIPOWER</t>
        </is>
      </c>
      <c r="B189" s="11" t="inlineStr">
        <is>
          <t>Power</t>
        </is>
      </c>
      <c r="C189" s="12">
        <f>IFERROR(__xludf.DUMMYFUNCTION("GOOGLEFINANCE(""NSE:""&amp;$A189,""price"")"),185.96)</f>
        <v/>
      </c>
      <c r="D189" s="12">
        <f>IFERROR(__xludf.DUMMYFUNCTION("GOOGLEFINANCE(""NSE:""&amp;$A189,""priceopen"")"),186.9)</f>
        <v/>
      </c>
      <c r="E189" s="12">
        <f>IFERROR(__xludf.DUMMYFUNCTION("GOOGLEFINANCE(""NSE:""&amp;$A189,""high"")"),187.2)</f>
        <v/>
      </c>
      <c r="F189" s="12">
        <f>IFERROR(__xludf.DUMMYFUNCTION("GOOGLEFINANCE(""NSE:""&amp;$A189,""low"")"),182.85)</f>
        <v/>
      </c>
      <c r="G189" s="12">
        <f>IFERROR(__xludf.DUMMYFUNCTION("IFERROR(INDEX(GOOGLEFINANCE(""NSE:""&amp;$A189,""close"",TODAY()),2,2),C189)"),185.96)</f>
        <v/>
      </c>
      <c r="H189" s="12">
        <f>IFERROR(__xludf.DUMMYFUNCTION("GOOGLEFINANCE(""NSE:""&amp;$A189,""closeyest"")"),185.9)</f>
        <v/>
      </c>
      <c r="I189" s="12">
        <f>IFERROR(C189-H189,"")</f>
        <v/>
      </c>
      <c r="J189" s="13">
        <f>IFERROR((C189-H189)/H189,"")</f>
        <v/>
      </c>
      <c r="K189" s="17">
        <f>IFERROR(__xludf.DUMMYFUNCTION("IFERROR(GOOGLEFINANCE(""NSE:""&amp;$A189,""marketcap""),"""")"),7.17197795279E11)</f>
        <v/>
      </c>
      <c r="L189" s="15">
        <f>IFERROR(K189/SUMIF($B$2:$B$214,B189,$K$2:$K$214),"")</f>
        <v/>
      </c>
      <c r="M189" s="16">
        <f>IFERROR(K189/SUM($K$2:$K$214),"")</f>
        <v/>
      </c>
      <c r="N189" t="n">
        <v>0</v>
      </c>
      <c r="O189" t="n">
        <v>2</v>
      </c>
      <c r="P189" s="19" t="n">
        <v>66.42</v>
      </c>
      <c r="R189" s="19" t="n">
        <v>29.16</v>
      </c>
      <c r="S189" t="inlineStr">
        <is>
          <t>NEUTRAL</t>
        </is>
      </c>
      <c r="T189" s="19" t="n">
        <v>42.55</v>
      </c>
      <c r="V189" t="n">
        <v>82.97</v>
      </c>
    </row>
    <row r="190" ht="15.75" customHeight="1" s="23">
      <c r="A190" s="10" t="inlineStr">
        <is>
          <t>JSWENERGY</t>
        </is>
      </c>
      <c r="B190" s="11" t="inlineStr">
        <is>
          <t>Power</t>
        </is>
      </c>
      <c r="C190" s="12">
        <f>IFERROR(__xludf.DUMMYFUNCTION("GOOGLEFINANCE(""NSE:""&amp;$A190,""price"")"),460.5)</f>
        <v/>
      </c>
      <c r="D190" s="12">
        <f>IFERROR(__xludf.DUMMYFUNCTION("GOOGLEFINANCE(""NSE:""&amp;$A190,""priceopen"")"),465.8)</f>
        <v/>
      </c>
      <c r="E190" s="12">
        <f>IFERROR(__xludf.DUMMYFUNCTION("GOOGLEFINANCE(""NSE:""&amp;$A190,""high"")"),469.5)</f>
        <v/>
      </c>
      <c r="F190" s="12">
        <f>IFERROR(__xludf.DUMMYFUNCTION("GOOGLEFINANCE(""NSE:""&amp;$A190,""low"")"),457.5)</f>
        <v/>
      </c>
      <c r="G190" s="12">
        <f>IFERROR(__xludf.DUMMYFUNCTION("IFERROR(INDEX(GOOGLEFINANCE(""NSE:""&amp;$A190,""close"",TODAY()),2,2),C190)"),460.5)</f>
        <v/>
      </c>
      <c r="H190" s="12">
        <f>IFERROR(__xludf.DUMMYFUNCTION("GOOGLEFINANCE(""NSE:""&amp;$A190,""closeyest"")"),467.35)</f>
        <v/>
      </c>
      <c r="I190" s="12">
        <f>IFERROR(C190-H190,"")</f>
        <v/>
      </c>
      <c r="J190" s="13">
        <f>IFERROR((C190-H190)/H190,"")</f>
        <v/>
      </c>
      <c r="K190" s="17">
        <f>IFERROR(__xludf.DUMMYFUNCTION("IFERROR(GOOGLEFINANCE(""NSE:""&amp;$A190,""marketcap""),"""")"),8.0297462E11)</f>
        <v/>
      </c>
      <c r="L190" s="15">
        <f>IFERROR(K190/SUMIF($B$2:$B$214,B190,$K$2:$K$214),"")</f>
        <v/>
      </c>
      <c r="M190" s="16">
        <f>IFERROR(K190/SUM($K$2:$K$214),"")</f>
        <v/>
      </c>
      <c r="N190" t="n">
        <v>0</v>
      </c>
      <c r="O190" t="n">
        <v>2</v>
      </c>
      <c r="P190" s="19" t="n">
        <v>50.46</v>
      </c>
      <c r="R190" s="19" t="n">
        <v>31.92</v>
      </c>
      <c r="S190" t="inlineStr">
        <is>
          <t>NEUTRAL</t>
        </is>
      </c>
      <c r="T190" s="19" t="n">
        <v>38.42</v>
      </c>
      <c r="V190" t="n">
        <v>75.59</v>
      </c>
    </row>
    <row r="191" ht="15.75" customHeight="1" s="23">
      <c r="A191" s="10" t="inlineStr">
        <is>
          <t>NHPC</t>
        </is>
      </c>
      <c r="B191" s="11" t="inlineStr">
        <is>
          <t>Power</t>
        </is>
      </c>
      <c r="C191" s="12">
        <f>IFERROR(__xludf.DUMMYFUNCTION("GOOGLEFINANCE(""NSE:""&amp;$A191,""price"")"),73.49)</f>
        <v/>
      </c>
      <c r="D191" s="12">
        <f>IFERROR(__xludf.DUMMYFUNCTION("GOOGLEFINANCE(""NSE:""&amp;$A191,""priceopen"")"),72.8)</f>
        <v/>
      </c>
      <c r="E191" s="12">
        <f>IFERROR(__xludf.DUMMYFUNCTION("GOOGLEFINANCE(""NSE:""&amp;$A191,""high"")"),73.8)</f>
        <v/>
      </c>
      <c r="F191" s="12">
        <f>IFERROR(__xludf.DUMMYFUNCTION("GOOGLEFINANCE(""NSE:""&amp;$A191,""low"")"),72.25)</f>
        <v/>
      </c>
      <c r="G191" s="12">
        <f>IFERROR(__xludf.DUMMYFUNCTION("IFERROR(INDEX(GOOGLEFINANCE(""NSE:""&amp;$A191,""close"",TODAY()),2,2),C191)"),73.49)</f>
        <v/>
      </c>
      <c r="H191" s="12">
        <f>IFERROR(__xludf.DUMMYFUNCTION("GOOGLEFINANCE(""NSE:""&amp;$A191,""closeyest"")"),73.4)</f>
        <v/>
      </c>
      <c r="I191" s="12">
        <f>IFERROR(C191-H191,"")</f>
        <v/>
      </c>
      <c r="J191" s="13">
        <f>IFERROR((C191-H191)/H191,"")</f>
        <v/>
      </c>
      <c r="K191" s="17">
        <f>IFERROR(__xludf.DUMMYFUNCTION("IFERROR(GOOGLEFINANCE(""NSE:""&amp;$A191,""marketcap""),"""")"),7.38139185E11)</f>
        <v/>
      </c>
      <c r="L191" s="15">
        <f>IFERROR(K191/SUMIF($B$2:$B$214,B191,$K$2:$K$214),"")</f>
        <v/>
      </c>
      <c r="M191" s="16">
        <f>IFERROR(K191/SUM($K$2:$K$214),"")</f>
        <v/>
      </c>
      <c r="N191" t="n">
        <v>0</v>
      </c>
      <c r="O191" t="n">
        <v>3</v>
      </c>
      <c r="P191" s="19" t="n">
        <v>48.08</v>
      </c>
      <c r="R191" s="19" t="n">
        <v>30.18</v>
      </c>
      <c r="S191" t="inlineStr">
        <is>
          <t>NEUTRAL</t>
        </is>
      </c>
      <c r="T191" s="19" t="n">
        <v>34.72</v>
      </c>
      <c r="V191" t="n">
        <v>54.82</v>
      </c>
    </row>
    <row r="192" ht="15.75" customHeight="1" s="23">
      <c r="A192" s="10" t="inlineStr">
        <is>
          <t>NTPC</t>
        </is>
      </c>
      <c r="B192" s="11" t="inlineStr">
        <is>
          <t>Power</t>
        </is>
      </c>
      <c r="C192" s="12">
        <f>IFERROR(__xludf.DUMMYFUNCTION("GOOGLEFINANCE(""NSE:""&amp;$A192,""price"")"),311.0)</f>
        <v/>
      </c>
      <c r="D192" s="12">
        <f>IFERROR(__xludf.DUMMYFUNCTION("GOOGLEFINANCE(""NSE:""&amp;$A192,""priceopen"")"),308.4)</f>
        <v/>
      </c>
      <c r="E192" s="12">
        <f>IFERROR(__xludf.DUMMYFUNCTION("GOOGLEFINANCE(""NSE:""&amp;$A192,""high"")"),311.9)</f>
        <v/>
      </c>
      <c r="F192" s="12">
        <f>IFERROR(__xludf.DUMMYFUNCTION("GOOGLEFINANCE(""NSE:""&amp;$A192,""low"")"),306.15)</f>
        <v/>
      </c>
      <c r="G192" s="12">
        <f>IFERROR(__xludf.DUMMYFUNCTION("IFERROR(INDEX(GOOGLEFINANCE(""NSE:""&amp;$A192,""close"",TODAY()),2,2),C192)"),311.0)</f>
        <v/>
      </c>
      <c r="H192" s="12">
        <f>IFERROR(__xludf.DUMMYFUNCTION("GOOGLEFINANCE(""NSE:""&amp;$A192,""closeyest"")"),310.0)</f>
        <v/>
      </c>
      <c r="I192" s="12">
        <f>IFERROR(C192-H192,"")</f>
        <v/>
      </c>
      <c r="J192" s="13">
        <f>IFERROR((C192-H192)/H192,"")</f>
        <v/>
      </c>
      <c r="K192" s="17">
        <f>IFERROR(__xludf.DUMMYFUNCTION("IFERROR(GOOGLEFINANCE(""NSE:""&amp;$A192,""marketcap""),"""")"),3.015411378656E12)</f>
        <v/>
      </c>
      <c r="L192" s="15">
        <f>IFERROR(K192/SUMIF($B$2:$B$214,B192,$K$2:$K$214),"")</f>
        <v/>
      </c>
      <c r="M192" s="16">
        <f>IFERROR(K192/SUM($K$2:$K$214),"")</f>
        <v/>
      </c>
      <c r="N192" t="n">
        <v>0</v>
      </c>
      <c r="O192" t="n">
        <v>6</v>
      </c>
      <c r="P192" s="19" t="n">
        <v>49.51</v>
      </c>
      <c r="R192" s="19" t="n">
        <v>27.7</v>
      </c>
      <c r="S192" t="inlineStr">
        <is>
          <t>BEARISH</t>
        </is>
      </c>
      <c r="T192" s="19" t="n">
        <v>35.93</v>
      </c>
      <c r="V192" t="n">
        <v>60.34</v>
      </c>
    </row>
    <row r="193" ht="15.75" customHeight="1" s="23">
      <c r="A193" s="10" t="inlineStr">
        <is>
          <t>POWERGRID</t>
        </is>
      </c>
      <c r="B193" s="11" t="inlineStr">
        <is>
          <t>Power</t>
        </is>
      </c>
      <c r="C193" s="12">
        <f>IFERROR(__xludf.DUMMYFUNCTION("GOOGLEFINANCE(""NSE:""&amp;$A193,""price"")"),250.5)</f>
        <v/>
      </c>
      <c r="D193" s="12">
        <f>IFERROR(__xludf.DUMMYFUNCTION("GOOGLEFINANCE(""NSE:""&amp;$A193,""priceopen"")"),248.1)</f>
        <v/>
      </c>
      <c r="E193" s="12">
        <f>IFERROR(__xludf.DUMMYFUNCTION("GOOGLEFINANCE(""NSE:""&amp;$A193,""high"")"),250.5)</f>
        <v/>
      </c>
      <c r="F193" s="12">
        <f>IFERROR(__xludf.DUMMYFUNCTION("GOOGLEFINANCE(""NSE:""&amp;$A193,""low"")"),245.0)</f>
        <v/>
      </c>
      <c r="G193" s="12">
        <f>IFERROR(__xludf.DUMMYFUNCTION("IFERROR(INDEX(GOOGLEFINANCE(""NSE:""&amp;$A193,""close"",TODAY()),2,2),C193)"),250.5)</f>
        <v/>
      </c>
      <c r="H193" s="12">
        <f>IFERROR(__xludf.DUMMYFUNCTION("GOOGLEFINANCE(""NSE:""&amp;$A193,""closeyest"")"),249.0)</f>
        <v/>
      </c>
      <c r="I193" s="12">
        <f>IFERROR(C193-H193,"")</f>
        <v/>
      </c>
      <c r="J193" s="13">
        <f>IFERROR((C193-H193)/H193,"")</f>
        <v/>
      </c>
      <c r="K193" s="17">
        <f>IFERROR(__xludf.DUMMYFUNCTION("IFERROR(GOOGLEFINANCE(""NSE:""&amp;$A193,""marketcap""),"""")"),2.3290064655E12)</f>
        <v/>
      </c>
      <c r="L193" s="15">
        <f>IFERROR(K193/SUMIF($B$2:$B$214,B193,$K$2:$K$214),"")</f>
        <v/>
      </c>
      <c r="M193" s="16">
        <f>IFERROR(K193/SUM($K$2:$K$214),"")</f>
        <v/>
      </c>
      <c r="N193" t="n">
        <v>0</v>
      </c>
      <c r="O193" t="n">
        <v>3</v>
      </c>
      <c r="P193" s="19" t="n">
        <v>45.04</v>
      </c>
      <c r="R193" s="19" t="n">
        <v>24.46</v>
      </c>
      <c r="S193" t="inlineStr">
        <is>
          <t>NEUTRAL</t>
        </is>
      </c>
      <c r="T193" s="19" t="n">
        <v>26.26</v>
      </c>
      <c r="V193" t="n">
        <v>49.74</v>
      </c>
    </row>
    <row r="194" ht="15.75" customHeight="1" s="23">
      <c r="A194" s="10" t="inlineStr">
        <is>
          <t>TATAPOWER</t>
        </is>
      </c>
      <c r="B194" s="11" t="inlineStr">
        <is>
          <t>Power</t>
        </is>
      </c>
      <c r="C194" s="12">
        <f>IFERROR(__xludf.DUMMYFUNCTION("GOOGLEFINANCE(""NSE:""&amp;$A194,""price"")"),345.0)</f>
        <v/>
      </c>
      <c r="D194" s="12">
        <f>IFERROR(__xludf.DUMMYFUNCTION("GOOGLEFINANCE(""NSE:""&amp;$A194,""priceopen"")"),343.0)</f>
        <v/>
      </c>
      <c r="E194" s="12">
        <f>IFERROR(__xludf.DUMMYFUNCTION("GOOGLEFINANCE(""NSE:""&amp;$A194,""high"")"),345.0)</f>
        <v/>
      </c>
      <c r="F194" s="12">
        <f>IFERROR(__xludf.DUMMYFUNCTION("GOOGLEFINANCE(""NSE:""&amp;$A194,""low"")"),340.75)</f>
        <v/>
      </c>
      <c r="G194" s="12">
        <f>IFERROR(__xludf.DUMMYFUNCTION("IFERROR(INDEX(GOOGLEFINANCE(""NSE:""&amp;$A194,""close"",TODAY()),2,2),C194)"),345.0)</f>
        <v/>
      </c>
      <c r="H194" s="12">
        <f>IFERROR(__xludf.DUMMYFUNCTION("GOOGLEFINANCE(""NSE:""&amp;$A194,""closeyest"")"),343.7)</f>
        <v/>
      </c>
      <c r="I194" s="12">
        <f>IFERROR(C194-H194,"")</f>
        <v/>
      </c>
      <c r="J194" s="13">
        <f>IFERROR((C194-H194)/H194,"")</f>
        <v/>
      </c>
      <c r="K194" s="17">
        <f>IFERROR(__xludf.DUMMYFUNCTION("IFERROR(GOOGLEFINANCE(""NSE:""&amp;$A194,""marketcap""),"""")"),1.102232227055E12)</f>
        <v/>
      </c>
      <c r="L194" s="15">
        <f>IFERROR(K194/SUMIF($B$2:$B$214,B194,$K$2:$K$214),"")</f>
        <v/>
      </c>
      <c r="M194" s="16">
        <f>IFERROR(K194/SUM($K$2:$K$214),"")</f>
        <v/>
      </c>
      <c r="N194" t="n">
        <v>0</v>
      </c>
      <c r="O194" t="n">
        <v>2</v>
      </c>
      <c r="P194" s="19" t="n">
        <v>46.37</v>
      </c>
      <c r="R194" s="19" t="n">
        <v>38.03</v>
      </c>
      <c r="S194" t="inlineStr">
        <is>
          <t>NEUTRAL</t>
        </is>
      </c>
      <c r="T194" s="19" t="n">
        <v>37.06</v>
      </c>
      <c r="V194" t="n">
        <v>79.25</v>
      </c>
    </row>
    <row r="195" ht="15.75" customHeight="1" s="23">
      <c r="A195" s="10" t="inlineStr">
        <is>
          <t>DLF</t>
        </is>
      </c>
      <c r="B195" s="11" t="inlineStr">
        <is>
          <t>Realty</t>
        </is>
      </c>
      <c r="C195" s="12">
        <f>IFERROR(__xludf.DUMMYFUNCTION("GOOGLEFINANCE(""NSE:""&amp;$A195,""price"")"),664.8)</f>
        <v/>
      </c>
      <c r="D195" s="12">
        <f>IFERROR(__xludf.DUMMYFUNCTION("GOOGLEFINANCE(""NSE:""&amp;$A195,""priceopen"")"),650.15)</f>
        <v/>
      </c>
      <c r="E195" s="12">
        <f>IFERROR(__xludf.DUMMYFUNCTION("GOOGLEFINANCE(""NSE:""&amp;$A195,""high"")"),664.8)</f>
        <v/>
      </c>
      <c r="F195" s="12">
        <f>IFERROR(__xludf.DUMMYFUNCTION("GOOGLEFINANCE(""NSE:""&amp;$A195,""low"")"),646.3)</f>
        <v/>
      </c>
      <c r="G195" s="12">
        <f>IFERROR(__xludf.DUMMYFUNCTION("IFERROR(INDEX(GOOGLEFINANCE(""NSE:""&amp;$A195,""close"",TODAY()),2,2),C195)"),664.8)</f>
        <v/>
      </c>
      <c r="H195" s="12">
        <f>IFERROR(__xludf.DUMMYFUNCTION("GOOGLEFINANCE(""NSE:""&amp;$A195,""closeyest"")"),650.0)</f>
        <v/>
      </c>
      <c r="I195" s="12">
        <f>IFERROR(C195-H195,"")</f>
        <v/>
      </c>
      <c r="J195" s="13">
        <f>IFERROR((C195-H195)/H195,"")</f>
        <v/>
      </c>
      <c r="K195" s="17">
        <f>IFERROR(__xludf.DUMMYFUNCTION("IFERROR(GOOGLEFINANCE(""NSE:""&amp;$A195,""marketcap""),"""")"),1.6434E12)</f>
        <v/>
      </c>
      <c r="L195" s="15">
        <f>IFERROR(K195/SUMIF($B$2:$B$214,B195,$K$2:$K$214),"")</f>
        <v/>
      </c>
      <c r="M195" s="16">
        <f>IFERROR(K195/SUM($K$2:$K$214),"")</f>
        <v/>
      </c>
      <c r="N195" t="n">
        <v>0</v>
      </c>
      <c r="O195" t="n">
        <v>1</v>
      </c>
      <c r="P195" s="19" t="n">
        <v>44.11</v>
      </c>
      <c r="R195" s="19" t="n">
        <v>47.92</v>
      </c>
      <c r="S195" t="inlineStr">
        <is>
          <t>NEUTRAL</t>
        </is>
      </c>
      <c r="T195" s="19" t="n">
        <v>47.54</v>
      </c>
      <c r="V195" t="n">
        <v>70.76000000000001</v>
      </c>
    </row>
    <row r="196" ht="15.75" customHeight="1" s="23">
      <c r="A196" s="10" t="inlineStr">
        <is>
          <t>GODREJPROP</t>
        </is>
      </c>
      <c r="B196" s="11" t="inlineStr">
        <is>
          <t>Realty</t>
        </is>
      </c>
      <c r="C196" s="12">
        <f>IFERROR(__xludf.DUMMYFUNCTION("GOOGLEFINANCE(""NSE:""&amp;$A196,""price"")"),1594.3)</f>
        <v/>
      </c>
      <c r="D196" s="12">
        <f>IFERROR(__xludf.DUMMYFUNCTION("GOOGLEFINANCE(""NSE:""&amp;$A196,""priceopen"")"),1546.0)</f>
        <v/>
      </c>
      <c r="E196" s="12">
        <f>IFERROR(__xludf.DUMMYFUNCTION("GOOGLEFINANCE(""NSE:""&amp;$A196,""high"")"),1594.3)</f>
        <v/>
      </c>
      <c r="F196" s="12">
        <f>IFERROR(__xludf.DUMMYFUNCTION("GOOGLEFINANCE(""NSE:""&amp;$A196,""low"")"),1534.0)</f>
        <v/>
      </c>
      <c r="G196" s="12">
        <f>IFERROR(__xludf.DUMMYFUNCTION("IFERROR(INDEX(GOOGLEFINANCE(""NSE:""&amp;$A196,""close"",TODAY()),2,2),C196)"),1594.3)</f>
        <v/>
      </c>
      <c r="H196" s="12">
        <f>IFERROR(__xludf.DUMMYFUNCTION("GOOGLEFINANCE(""NSE:""&amp;$A196,""closeyest"")"),1544.5)</f>
        <v/>
      </c>
      <c r="I196" s="12">
        <f>IFERROR(C196-H196,"")</f>
        <v/>
      </c>
      <c r="J196" s="13">
        <f>IFERROR((C196-H196)/H196,"")</f>
        <v/>
      </c>
      <c r="K196" s="17">
        <f>IFERROR(__xludf.DUMMYFUNCTION("IFERROR(GOOGLEFINANCE(""NSE:""&amp;$A196,""marketcap""),"""")"),4.78610352E11)</f>
        <v/>
      </c>
      <c r="L196" s="15">
        <f>IFERROR(K196/SUMIF($B$2:$B$214,B196,$K$2:$K$214),"")</f>
        <v/>
      </c>
      <c r="M196" s="16">
        <f>IFERROR(K196/SUM($K$2:$K$214),"")</f>
        <v/>
      </c>
      <c r="N196" t="n">
        <v>0</v>
      </c>
      <c r="O196" t="n">
        <v>3</v>
      </c>
      <c r="P196" s="19" t="n">
        <v>43.41</v>
      </c>
      <c r="R196" s="19" t="n">
        <v>18.62</v>
      </c>
      <c r="S196" t="inlineStr">
        <is>
          <t>NEUTRAL</t>
        </is>
      </c>
      <c r="T196" s="19" t="n">
        <v>30.86</v>
      </c>
      <c r="V196" t="n">
        <v>62.35</v>
      </c>
    </row>
    <row r="197" ht="15.75" customHeight="1" s="23">
      <c r="A197" s="10" t="inlineStr">
        <is>
          <t>LODHA</t>
        </is>
      </c>
      <c r="B197" s="11" t="inlineStr">
        <is>
          <t>Realty</t>
        </is>
      </c>
      <c r="C197" s="12">
        <f>IFERROR(__xludf.DUMMYFUNCTION("GOOGLEFINANCE(""NSE:""&amp;$A197,""price"")"),1091.5)</f>
        <v/>
      </c>
      <c r="D197" s="12">
        <f>IFERROR(__xludf.DUMMYFUNCTION("GOOGLEFINANCE(""NSE:""&amp;$A197,""priceopen"")"),1073.0)</f>
        <v/>
      </c>
      <c r="E197" s="12">
        <f>IFERROR(__xludf.DUMMYFUNCTION("GOOGLEFINANCE(""NSE:""&amp;$A197,""high"")"),1092.0)</f>
        <v/>
      </c>
      <c r="F197" s="12">
        <f>IFERROR(__xludf.DUMMYFUNCTION("GOOGLEFINANCE(""NSE:""&amp;$A197,""low"")"),1068.0)</f>
        <v/>
      </c>
      <c r="G197" s="12">
        <f>IFERROR(__xludf.DUMMYFUNCTION("IFERROR(INDEX(GOOGLEFINANCE(""NSE:""&amp;$A197,""close"",TODAY()),2,2),C197)"),1091.5)</f>
        <v/>
      </c>
      <c r="H197" s="12">
        <f>IFERROR(__xludf.DUMMYFUNCTION("GOOGLEFINANCE(""NSE:""&amp;$A197,""closeyest"")"),1069.7)</f>
        <v/>
      </c>
      <c r="I197" s="12">
        <f>IFERROR(C197-H197,"")</f>
        <v/>
      </c>
      <c r="J197" s="13">
        <f>IFERROR((C197-H197)/H197,"")</f>
        <v/>
      </c>
      <c r="K197" s="17">
        <f>IFERROR(__xludf.DUMMYFUNCTION("IFERROR(GOOGLEFINANCE(""NSE:""&amp;$A197,""marketcap""),"""")"),1.0908601627E12)</f>
        <v/>
      </c>
      <c r="L197" s="15">
        <f>IFERROR(K197/SUMIF($B$2:$B$214,B197,$K$2:$K$214),"")</f>
        <v/>
      </c>
      <c r="M197" s="16">
        <f>IFERROR(K197/SUM($K$2:$K$214),"")</f>
        <v/>
      </c>
      <c r="N197" t="n">
        <v>0</v>
      </c>
      <c r="O197" t="n">
        <v>3</v>
      </c>
      <c r="P197" s="19" t="n">
        <v>45.46</v>
      </c>
      <c r="R197" s="19" t="n">
        <v>36.15</v>
      </c>
      <c r="S197" t="inlineStr">
        <is>
          <t>NEUTRAL</t>
        </is>
      </c>
      <c r="T197" s="19" t="n">
        <v>32.08</v>
      </c>
      <c r="V197" t="n">
        <v>43.33</v>
      </c>
    </row>
    <row r="198" ht="15.75" customHeight="1" s="23">
      <c r="A198" s="10" t="inlineStr">
        <is>
          <t>OBEROIRLTY</t>
        </is>
      </c>
      <c r="B198" s="11" t="inlineStr">
        <is>
          <t>Realty</t>
        </is>
      </c>
      <c r="C198" s="12">
        <f>IFERROR(__xludf.DUMMYFUNCTION("GOOGLEFINANCE(""NSE:""&amp;$A198,""price"")"),1720.0)</f>
        <v/>
      </c>
      <c r="D198" s="12">
        <f>IFERROR(__xludf.DUMMYFUNCTION("GOOGLEFINANCE(""NSE:""&amp;$A198,""priceopen"")"),1703.5)</f>
        <v/>
      </c>
      <c r="E198" s="12">
        <f>IFERROR(__xludf.DUMMYFUNCTION("GOOGLEFINANCE(""NSE:""&amp;$A198,""high"")"),1728.9)</f>
        <v/>
      </c>
      <c r="F198" s="12">
        <f>IFERROR(__xludf.DUMMYFUNCTION("GOOGLEFINANCE(""NSE:""&amp;$A198,""low"")"),1688.0)</f>
        <v/>
      </c>
      <c r="G198" s="12">
        <f>IFERROR(__xludf.DUMMYFUNCTION("IFERROR(INDEX(GOOGLEFINANCE(""NSE:""&amp;$A198,""close"",TODAY()),2,2),C198)"),1720.0)</f>
        <v/>
      </c>
      <c r="H198" s="12">
        <f>IFERROR(__xludf.DUMMYFUNCTION("GOOGLEFINANCE(""NSE:""&amp;$A198,""closeyest"")"),1700.0)</f>
        <v/>
      </c>
      <c r="I198" s="12">
        <f>IFERROR(C198-H198,"")</f>
        <v/>
      </c>
      <c r="J198" s="13">
        <f>IFERROR((C198-H198)/H198,"")</f>
        <v/>
      </c>
      <c r="K198" s="17">
        <f>IFERROR(__xludf.DUMMYFUNCTION("IFERROR(GOOGLEFINANCE(""NSE:""&amp;$A198,""marketcap""),"""")"),6.25395784E11)</f>
        <v/>
      </c>
      <c r="L198" s="15">
        <f>IFERROR(K198/SUMIF($B$2:$B$214,B198,$K$2:$K$214),"")</f>
        <v/>
      </c>
      <c r="M198" s="16">
        <f>IFERROR(K198/SUM($K$2:$K$214),"")</f>
        <v/>
      </c>
      <c r="N198" t="n">
        <v>0</v>
      </c>
      <c r="O198" t="n">
        <v>3</v>
      </c>
      <c r="P198" s="19" t="n">
        <v>53.94</v>
      </c>
      <c r="R198" s="19" t="n">
        <v>34.78</v>
      </c>
      <c r="S198" t="inlineStr">
        <is>
          <t>NEUTRAL</t>
        </is>
      </c>
      <c r="T198" s="19" t="n">
        <v>26.49</v>
      </c>
      <c r="V198" t="n">
        <v>53.5</v>
      </c>
    </row>
    <row r="199" ht="15.75" customHeight="1" s="23">
      <c r="A199" s="10" t="inlineStr">
        <is>
          <t>PHOENIXLTD</t>
        </is>
      </c>
      <c r="B199" s="11" t="inlineStr">
        <is>
          <t>Realty</t>
        </is>
      </c>
      <c r="C199" s="12">
        <f>IFERROR(__xludf.DUMMYFUNCTION("GOOGLEFINANCE(""NSE:""&amp;$A199,""price"")"),1902.6)</f>
        <v/>
      </c>
      <c r="D199" s="12">
        <f>IFERROR(__xludf.DUMMYFUNCTION("GOOGLEFINANCE(""NSE:""&amp;$A199,""priceopen"")"),1840.4)</f>
        <v/>
      </c>
      <c r="E199" s="12">
        <f>IFERROR(__xludf.DUMMYFUNCTION("GOOGLEFINANCE(""NSE:""&amp;$A199,""high"")"),1902.6)</f>
        <v/>
      </c>
      <c r="F199" s="12">
        <f>IFERROR(__xludf.DUMMYFUNCTION("GOOGLEFINANCE(""NSE:""&amp;$A199,""low"")"),1840.4)</f>
        <v/>
      </c>
      <c r="G199" s="12">
        <f>IFERROR(__xludf.DUMMYFUNCTION("IFERROR(INDEX(GOOGLEFINANCE(""NSE:""&amp;$A199,""close"",TODAY()),2,2),C199)"),1902.6)</f>
        <v/>
      </c>
      <c r="H199" s="12">
        <f>IFERROR(__xludf.DUMMYFUNCTION("GOOGLEFINANCE(""NSE:""&amp;$A199,""closeyest"")"),1840.0)</f>
        <v/>
      </c>
      <c r="I199" s="12">
        <f>IFERROR(C199-H199,"")</f>
        <v/>
      </c>
      <c r="J199" s="13">
        <f>IFERROR((C199-H199)/H199,"")</f>
        <v/>
      </c>
      <c r="K199" s="17">
        <f>IFERROR(__xludf.DUMMYFUNCTION("IFERROR(GOOGLEFINANCE(""NSE:""&amp;$A199,""marketcap""),"""")"),6.82472223E11)</f>
        <v/>
      </c>
      <c r="L199" s="15">
        <f>IFERROR(K199/SUMIF($B$2:$B$214,B199,$K$2:$K$214),"")</f>
        <v/>
      </c>
      <c r="M199" s="16">
        <f>IFERROR(K199/SUM($K$2:$K$214),"")</f>
        <v/>
      </c>
      <c r="N199" t="n">
        <v>0</v>
      </c>
      <c r="O199" t="n">
        <v>2</v>
      </c>
      <c r="P199" s="19" t="n">
        <v>65.08</v>
      </c>
      <c r="R199" s="19" t="n">
        <v>33.02</v>
      </c>
      <c r="S199" t="inlineStr">
        <is>
          <t>NEUTRAL</t>
        </is>
      </c>
      <c r="T199" s="19" t="n">
        <v>37.9</v>
      </c>
      <c r="V199" t="n">
        <v>68.06999999999999</v>
      </c>
    </row>
    <row r="200" ht="15.75" customHeight="1" s="23">
      <c r="A200" s="10" t="inlineStr">
        <is>
          <t>PRESTIGE</t>
        </is>
      </c>
      <c r="B200" s="11" t="inlineStr">
        <is>
          <t>Realty</t>
        </is>
      </c>
      <c r="C200" s="12">
        <f>IFERROR(__xludf.DUMMYFUNCTION("GOOGLEFINANCE(""NSE:""&amp;$A200,""price"")"),1485.0)</f>
        <v/>
      </c>
      <c r="D200" s="12">
        <f>IFERROR(__xludf.DUMMYFUNCTION("GOOGLEFINANCE(""NSE:""&amp;$A200,""priceopen"")"),1429.5)</f>
        <v/>
      </c>
      <c r="E200" s="12">
        <f>IFERROR(__xludf.DUMMYFUNCTION("GOOGLEFINANCE(""NSE:""&amp;$A200,""high"")"),1485.0)</f>
        <v/>
      </c>
      <c r="F200" s="12">
        <f>IFERROR(__xludf.DUMMYFUNCTION("GOOGLEFINANCE(""NSE:""&amp;$A200,""low"")"),1417.9)</f>
        <v/>
      </c>
      <c r="G200" s="12">
        <f>IFERROR(__xludf.DUMMYFUNCTION("IFERROR(INDEX(GOOGLEFINANCE(""NSE:""&amp;$A200,""close"",TODAY()),2,2),C200)"),1485.0)</f>
        <v/>
      </c>
      <c r="H200" s="12">
        <f>IFERROR(__xludf.DUMMYFUNCTION("GOOGLEFINANCE(""NSE:""&amp;$A200,""closeyest"")"),1429.5)</f>
        <v/>
      </c>
      <c r="I200" s="12">
        <f>IFERROR(C200-H200,"")</f>
        <v/>
      </c>
      <c r="J200" s="13">
        <f>IFERROR((C200-H200)/H200,"")</f>
        <v/>
      </c>
      <c r="K200" s="17">
        <f>IFERROR(__xludf.DUMMYFUNCTION("IFERROR(GOOGLEFINANCE(""NSE:""&amp;$A200,""marketcap""),"""")"),6.3831826192E11)</f>
        <v/>
      </c>
      <c r="L200" s="15">
        <f>IFERROR(K200/SUMIF($B$2:$B$214,B200,$K$2:$K$214),"")</f>
        <v/>
      </c>
      <c r="M200" s="16">
        <f>IFERROR(K200/SUM($K$2:$K$214),"")</f>
        <v/>
      </c>
      <c r="N200" t="n">
        <v>2</v>
      </c>
      <c r="O200" t="n">
        <v>2</v>
      </c>
      <c r="P200" s="19" t="n">
        <v>47.15</v>
      </c>
      <c r="R200" s="19" t="n">
        <v>28.58</v>
      </c>
      <c r="S200" t="inlineStr">
        <is>
          <t>NEUTRAL</t>
        </is>
      </c>
      <c r="T200" s="19" t="n">
        <v>46.37</v>
      </c>
      <c r="V200" t="n">
        <v>63.39</v>
      </c>
    </row>
    <row r="201" ht="15.75" customHeight="1" s="23">
      <c r="A201" s="10" t="inlineStr">
        <is>
          <t>INOXWIND</t>
        </is>
      </c>
      <c r="B201" s="11" t="inlineStr">
        <is>
          <t>Renewable Equipment</t>
        </is>
      </c>
      <c r="C201" s="12">
        <f>IFERROR(__xludf.DUMMYFUNCTION("GOOGLEFINANCE(""NSE:""&amp;$A201,""price"")"),69.94)</f>
        <v/>
      </c>
      <c r="D201" s="12">
        <f>IFERROR(__xludf.DUMMYFUNCTION("GOOGLEFINANCE(""NSE:""&amp;$A201,""priceopen"")"),67.17)</f>
        <v/>
      </c>
      <c r="E201" s="12">
        <f>IFERROR(__xludf.DUMMYFUNCTION("GOOGLEFINANCE(""NSE:""&amp;$A201,""high"")"),69.99)</f>
        <v/>
      </c>
      <c r="F201" s="12">
        <f>IFERROR(__xludf.DUMMYFUNCTION("GOOGLEFINANCE(""NSE:""&amp;$A201,""low"")"),66.35)</f>
        <v/>
      </c>
      <c r="G201" s="12">
        <f>IFERROR(__xludf.DUMMYFUNCTION("IFERROR(INDEX(GOOGLEFINANCE(""NSE:""&amp;$A201,""close"",TODAY()),2,2),C201)"),69.94)</f>
        <v/>
      </c>
      <c r="H201" s="12">
        <f>IFERROR(__xludf.DUMMYFUNCTION("GOOGLEFINANCE(""NSE:""&amp;$A201,""closeyest"")"),67.17)</f>
        <v/>
      </c>
      <c r="I201" s="12">
        <f>IFERROR(C201-H201,"")</f>
        <v/>
      </c>
      <c r="J201" s="13">
        <f>IFERROR((C201-H201)/H201,"")</f>
        <v/>
      </c>
      <c r="K201" s="17">
        <f>IFERROR(__xludf.DUMMYFUNCTION("IFERROR(GOOGLEFINANCE(""NSE:""&amp;$A201,""marketcap""),"""")"),9.110451E10)</f>
        <v/>
      </c>
      <c r="L201" s="15">
        <f>IFERROR(K201/SUMIF($B$2:$B$214,B201,$K$2:$K$214),"")</f>
        <v/>
      </c>
      <c r="M201" s="16">
        <f>IFERROR(K201/SUM($K$2:$K$214),"")</f>
        <v/>
      </c>
      <c r="N201" t="n">
        <v>0</v>
      </c>
      <c r="O201" t="n">
        <v>2</v>
      </c>
      <c r="P201" s="19" t="n">
        <v>27.83</v>
      </c>
      <c r="R201" s="19" t="n">
        <v>29.8</v>
      </c>
      <c r="S201" t="inlineStr">
        <is>
          <t>NEUTRAL</t>
        </is>
      </c>
      <c r="T201" s="19" t="n">
        <v>39.82</v>
      </c>
      <c r="V201" t="n">
        <v>70.58</v>
      </c>
    </row>
    <row r="202" ht="15.75" customHeight="1" s="23">
      <c r="A202" s="10" t="inlineStr">
        <is>
          <t>PREMIERENE</t>
        </is>
      </c>
      <c r="B202" s="11" t="inlineStr">
        <is>
          <t>Renewable Equipment</t>
        </is>
      </c>
      <c r="C202" s="12">
        <f>IFERROR(__xludf.DUMMYFUNCTION("GOOGLEFINANCE(""NSE:""&amp;$A202,""price"")"),906.0)</f>
        <v/>
      </c>
      <c r="D202" s="12">
        <f>IFERROR(__xludf.DUMMYFUNCTION("GOOGLEFINANCE(""NSE:""&amp;$A202,""priceopen"")"),898.0)</f>
        <v/>
      </c>
      <c r="E202" s="12">
        <f>IFERROR(__xludf.DUMMYFUNCTION("GOOGLEFINANCE(""NSE:""&amp;$A202,""high"")"),913.25)</f>
        <v/>
      </c>
      <c r="F202" s="12">
        <f>IFERROR(__xludf.DUMMYFUNCTION("GOOGLEFINANCE(""NSE:""&amp;$A202,""low"")"),887.1)</f>
        <v/>
      </c>
      <c r="G202" s="12">
        <f>IFERROR(__xludf.DUMMYFUNCTION("IFERROR(INDEX(GOOGLEFINANCE(""NSE:""&amp;$A202,""close"",TODAY()),2,2),C202)"),906.0)</f>
        <v/>
      </c>
      <c r="H202" s="12">
        <f>IFERROR(__xludf.DUMMYFUNCTION("GOOGLEFINANCE(""NSE:""&amp;$A202,""closeyest"")"),908.85)</f>
        <v/>
      </c>
      <c r="I202" s="12">
        <f>IFERROR(C202-H202,"")</f>
        <v/>
      </c>
      <c r="J202" s="13">
        <f>IFERROR((C202-H202)/H202,"")</f>
        <v/>
      </c>
      <c r="K202" s="17">
        <f>IFERROR(__xludf.DUMMYFUNCTION("IFERROR(GOOGLEFINANCE(""NSE:""&amp;$A202,""marketcap""),"""")"),4.0308723E11)</f>
        <v/>
      </c>
      <c r="L202" s="15">
        <f>IFERROR(K202/SUMIF($B$2:$B$214,B202,$K$2:$K$214),"")</f>
        <v/>
      </c>
      <c r="M202" s="16">
        <f>IFERROR(K202/SUM($K$2:$K$214),"")</f>
        <v/>
      </c>
      <c r="N202" t="n">
        <v>0</v>
      </c>
      <c r="O202" t="n">
        <v>2</v>
      </c>
      <c r="P202" s="19" t="n">
        <v>46.76</v>
      </c>
      <c r="R202" s="19" t="n">
        <v>26.39</v>
      </c>
      <c r="S202" t="inlineStr">
        <is>
          <t>NEUTRAL</t>
        </is>
      </c>
      <c r="T202" s="19" t="n">
        <v>52.3</v>
      </c>
      <c r="V202" t="n">
        <v>60.66</v>
      </c>
    </row>
    <row r="203" ht="15.75" customHeight="1" s="23">
      <c r="A203" s="10" t="inlineStr">
        <is>
          <t>SUZLON</t>
        </is>
      </c>
      <c r="B203" s="11" t="inlineStr">
        <is>
          <t>Renewable Equipment</t>
        </is>
      </c>
      <c r="C203" s="12">
        <f>IFERROR(__xludf.DUMMYFUNCTION("GOOGLEFINANCE(""NSE:""&amp;$A203,""price"")"),40.19)</f>
        <v/>
      </c>
      <c r="D203" s="12">
        <f>IFERROR(__xludf.DUMMYFUNCTION("GOOGLEFINANCE(""NSE:""&amp;$A203,""priceopen"")"),39.95)</f>
        <v/>
      </c>
      <c r="E203" s="12">
        <f>IFERROR(__xludf.DUMMYFUNCTION("GOOGLEFINANCE(""NSE:""&amp;$A203,""high"")"),40.33)</f>
        <v/>
      </c>
      <c r="F203" s="12">
        <f>IFERROR(__xludf.DUMMYFUNCTION("GOOGLEFINANCE(""NSE:""&amp;$A203,""low"")"),39.13)</f>
        <v/>
      </c>
      <c r="G203" s="12">
        <f>IFERROR(__xludf.DUMMYFUNCTION("IFERROR(INDEX(GOOGLEFINANCE(""NSE:""&amp;$A203,""close"",TODAY()),2,2),C203)"),40.19)</f>
        <v/>
      </c>
      <c r="H203" s="12">
        <f>IFERROR(__xludf.DUMMYFUNCTION("GOOGLEFINANCE(""NSE:""&amp;$A203,""closeyest"")"),39.57)</f>
        <v/>
      </c>
      <c r="I203" s="12">
        <f>IFERROR(C203-H203,"")</f>
        <v/>
      </c>
      <c r="J203" s="13">
        <f>IFERROR((C203-H203)/H203,"")</f>
        <v/>
      </c>
      <c r="K203" s="17">
        <f>IFERROR(__xludf.DUMMYFUNCTION("IFERROR(GOOGLEFINANCE(""NSE:""&amp;$A203,""marketcap""),"""")"),5.50708289582E11)</f>
        <v/>
      </c>
      <c r="L203" s="15">
        <f>IFERROR(K203/SUMIF($B$2:$B$214,B203,$K$2:$K$214),"")</f>
        <v/>
      </c>
      <c r="M203" s="16">
        <f>IFERROR(K203/SUM($K$2:$K$214),"")</f>
        <v/>
      </c>
      <c r="N203" t="n">
        <v>0</v>
      </c>
      <c r="O203" t="n">
        <v>2</v>
      </c>
      <c r="P203" s="19" t="n">
        <v>38.06</v>
      </c>
      <c r="R203" s="19" t="n">
        <v>18.06</v>
      </c>
      <c r="S203" t="inlineStr">
        <is>
          <t>NEUTRAL</t>
        </is>
      </c>
      <c r="T203" s="19" t="n">
        <v>42.74</v>
      </c>
      <c r="V203" t="n">
        <v>74.31</v>
      </c>
    </row>
    <row r="204" ht="15.75" customHeight="1" s="23">
      <c r="A204" s="10" t="inlineStr">
        <is>
          <t>WAAREEENER</t>
        </is>
      </c>
      <c r="B204" s="11" t="inlineStr">
        <is>
          <t>Renewable Equipment</t>
        </is>
      </c>
      <c r="C204" s="12">
        <f>IFERROR(__xludf.DUMMYFUNCTION("GOOGLEFINANCE(""NSE:""&amp;$A204,""price"")"),2451.0)</f>
        <v/>
      </c>
      <c r="D204" s="12">
        <f>IFERROR(__xludf.DUMMYFUNCTION("GOOGLEFINANCE(""NSE:""&amp;$A204,""priceopen"")"),2340.0)</f>
        <v/>
      </c>
      <c r="E204" s="12">
        <f>IFERROR(__xludf.DUMMYFUNCTION("GOOGLEFINANCE(""NSE:""&amp;$A204,""high"")"),2464.0)</f>
        <v/>
      </c>
      <c r="F204" s="12">
        <f>IFERROR(__xludf.DUMMYFUNCTION("GOOGLEFINANCE(""NSE:""&amp;$A204,""low"")"),2330.1)</f>
        <v/>
      </c>
      <c r="G204" s="12">
        <f>IFERROR(__xludf.DUMMYFUNCTION("IFERROR(INDEX(GOOGLEFINANCE(""NSE:""&amp;$A204,""close"",TODAY()),2,2),C204)"),2451.0)</f>
        <v/>
      </c>
      <c r="H204" s="12">
        <f>IFERROR(__xludf.DUMMYFUNCTION("GOOGLEFINANCE(""NSE:""&amp;$A204,""closeyest"")"),2345.0)</f>
        <v/>
      </c>
      <c r="I204" s="12">
        <f>IFERROR(C204-H204,"")</f>
        <v/>
      </c>
      <c r="J204" s="13">
        <f>IFERROR((C204-H204)/H204,"")</f>
        <v/>
      </c>
      <c r="K204" s="17">
        <f>IFERROR(__xludf.DUMMYFUNCTION("IFERROR(GOOGLEFINANCE(""NSE:""&amp;$A204,""marketcap""),"""")"),7.02894468E11)</f>
        <v/>
      </c>
      <c r="L204" s="15">
        <f>IFERROR(K204/SUMIF($B$2:$B$214,B204,$K$2:$K$214),"")</f>
        <v/>
      </c>
      <c r="M204" s="16">
        <f>IFERROR(K204/SUM($K$2:$K$214),"")</f>
        <v/>
      </c>
      <c r="N204" t="n">
        <v>0</v>
      </c>
      <c r="O204" t="n">
        <v>2</v>
      </c>
      <c r="P204" s="19" t="n">
        <v>30.22</v>
      </c>
      <c r="R204" s="19" t="n">
        <v>26.59</v>
      </c>
      <c r="S204" t="inlineStr">
        <is>
          <t>NEUTRAL</t>
        </is>
      </c>
      <c r="T204" s="19" t="n">
        <v>50.37</v>
      </c>
      <c r="V204" t="n">
        <v>88.69</v>
      </c>
    </row>
    <row r="205" ht="15.75" customHeight="1" s="23">
      <c r="A205" s="10" t="inlineStr">
        <is>
          <t>DMART</t>
        </is>
      </c>
      <c r="B205" s="11" t="inlineStr">
        <is>
          <t>Retail &amp; Consumer Services</t>
        </is>
      </c>
      <c r="C205" s="12">
        <f>IFERROR(__xludf.DUMMYFUNCTION("GOOGLEFINANCE(""NSE:""&amp;$A205,""price"")"),3383.0)</f>
        <v/>
      </c>
      <c r="D205" s="12">
        <f>IFERROR(__xludf.DUMMYFUNCTION("GOOGLEFINANCE(""NSE:""&amp;$A205,""priceopen"")"),3373.0)</f>
        <v/>
      </c>
      <c r="E205" s="12">
        <f>IFERROR(__xludf.DUMMYFUNCTION("GOOGLEFINANCE(""NSE:""&amp;$A205,""high"")"),3390.0)</f>
        <v/>
      </c>
      <c r="F205" s="12">
        <f>IFERROR(__xludf.DUMMYFUNCTION("GOOGLEFINANCE(""NSE:""&amp;$A205,""low"")"),3345.9)</f>
        <v/>
      </c>
      <c r="G205" s="12">
        <f>IFERROR(__xludf.DUMMYFUNCTION("IFERROR(INDEX(GOOGLEFINANCE(""NSE:""&amp;$A205,""close"",TODAY()),2,2),C205)"),3383.0)</f>
        <v/>
      </c>
      <c r="H205" s="12">
        <f>IFERROR(__xludf.DUMMYFUNCTION("GOOGLEFINANCE(""NSE:""&amp;$A205,""closeyest"")"),3364.9)</f>
        <v/>
      </c>
      <c r="I205" s="12">
        <f>IFERROR(C205-H205,"")</f>
        <v/>
      </c>
      <c r="J205" s="13">
        <f>IFERROR((C205-H205)/H205,"")</f>
        <v/>
      </c>
      <c r="K205" s="17">
        <f>IFERROR(__xludf.DUMMYFUNCTION("IFERROR(GOOGLEFINANCE(""NSE:""&amp;$A205,""marketcap""),"""")"),2.198520217269E12)</f>
        <v/>
      </c>
      <c r="L205" s="15">
        <f>IFERROR(K205/SUMIF($B$2:$B$214,B205,$K$2:$K$214),"")</f>
        <v/>
      </c>
      <c r="M205" s="16">
        <f>IFERROR(K205/SUM($K$2:$K$214),"")</f>
        <v/>
      </c>
      <c r="N205" t="n">
        <v>0</v>
      </c>
      <c r="O205" t="n">
        <v>3</v>
      </c>
      <c r="P205" s="19" t="n">
        <v>32.29</v>
      </c>
      <c r="R205" s="19" t="n">
        <v>26.42</v>
      </c>
      <c r="S205" t="inlineStr">
        <is>
          <t>NEUTRAL</t>
        </is>
      </c>
      <c r="T205" s="19" t="n">
        <v>26.08</v>
      </c>
      <c r="V205" t="n">
        <v>68.11</v>
      </c>
    </row>
    <row r="206" ht="15.75" customHeight="1" s="23">
      <c r="A206" s="10" t="inlineStr">
        <is>
          <t>JUBLFOOD</t>
        </is>
      </c>
      <c r="B206" s="11" t="inlineStr">
        <is>
          <t>Retail &amp; Consumer Services</t>
        </is>
      </c>
      <c r="C206" s="12">
        <f>IFERROR(__xludf.DUMMYFUNCTION("GOOGLEFINANCE(""NSE:""&amp;$A206,""price"")"),425.0)</f>
        <v/>
      </c>
      <c r="D206" s="12">
        <f>IFERROR(__xludf.DUMMYFUNCTION("GOOGLEFINANCE(""NSE:""&amp;$A206,""priceopen"")"),420.25)</f>
        <v/>
      </c>
      <c r="E206" s="12">
        <f>IFERROR(__xludf.DUMMYFUNCTION("GOOGLEFINANCE(""NSE:""&amp;$A206,""high"")"),425.0)</f>
        <v/>
      </c>
      <c r="F206" s="12">
        <f>IFERROR(__xludf.DUMMYFUNCTION("GOOGLEFINANCE(""NSE:""&amp;$A206,""low"")"),416.1)</f>
        <v/>
      </c>
      <c r="G206" s="12">
        <f>IFERROR(__xludf.DUMMYFUNCTION("IFERROR(INDEX(GOOGLEFINANCE(""NSE:""&amp;$A206,""close"",TODAY()),2,2),C206)"),425.0)</f>
        <v/>
      </c>
      <c r="H206" s="12">
        <f>IFERROR(__xludf.DUMMYFUNCTION("GOOGLEFINANCE(""NSE:""&amp;$A206,""closeyest"")"),416.05)</f>
        <v/>
      </c>
      <c r="I206" s="12">
        <f>IFERROR(C206-H206,"")</f>
        <v/>
      </c>
      <c r="J206" s="13">
        <f>IFERROR((C206-H206)/H206,"")</f>
        <v/>
      </c>
      <c r="K206" s="17">
        <f>IFERROR(__xludf.DUMMYFUNCTION("IFERROR(GOOGLEFINANCE(""NSE:""&amp;$A206,""marketcap""),"""")"),2.79544654055E11)</f>
        <v/>
      </c>
      <c r="L206" s="15">
        <f>IFERROR(K206/SUMIF($B$2:$B$214,B206,$K$2:$K$214),"")</f>
        <v/>
      </c>
      <c r="M206" s="16">
        <f>IFERROR(K206/SUM($K$2:$K$214),"")</f>
        <v/>
      </c>
      <c r="N206" t="n">
        <v>2</v>
      </c>
      <c r="O206" t="n">
        <v>2</v>
      </c>
      <c r="P206" s="19" t="n">
        <v>30.01</v>
      </c>
      <c r="R206" s="19" t="n">
        <v>47.83</v>
      </c>
      <c r="S206" t="inlineStr">
        <is>
          <t>NEUTRAL</t>
        </is>
      </c>
      <c r="T206" s="19" t="n">
        <v>26.51</v>
      </c>
      <c r="V206" t="n">
        <v>67.26000000000001</v>
      </c>
    </row>
    <row r="207" ht="15.75" customHeight="1" s="23">
      <c r="A207" s="10" t="inlineStr">
        <is>
          <t>PAGEIND</t>
        </is>
      </c>
      <c r="B207" s="11" t="inlineStr">
        <is>
          <t>Retail &amp; Consumer Services</t>
        </is>
      </c>
      <c r="C207" s="12">
        <f>IFERROR(__xludf.DUMMYFUNCTION("GOOGLEFINANCE(""NSE:""&amp;$A207,""price"")"),37100.0)</f>
        <v/>
      </c>
      <c r="D207" s="12">
        <f>IFERROR(__xludf.DUMMYFUNCTION("GOOGLEFINANCE(""NSE:""&amp;$A207,""priceopen"")"),36970.0)</f>
        <v/>
      </c>
      <c r="E207" s="12">
        <f>IFERROR(__xludf.DUMMYFUNCTION("GOOGLEFINANCE(""NSE:""&amp;$A207,""high"")"),37100.0)</f>
        <v/>
      </c>
      <c r="F207" s="12">
        <f>IFERROR(__xludf.DUMMYFUNCTION("GOOGLEFINANCE(""NSE:""&amp;$A207,""low"")"),36330.0)</f>
        <v/>
      </c>
      <c r="G207" s="12">
        <f>IFERROR(__xludf.DUMMYFUNCTION("IFERROR(INDEX(GOOGLEFINANCE(""NSE:""&amp;$A207,""close"",TODAY()),2,2),C207)"),37100.0)</f>
        <v/>
      </c>
      <c r="H207" s="12">
        <f>IFERROR(__xludf.DUMMYFUNCTION("GOOGLEFINANCE(""NSE:""&amp;$A207,""closeyest"")"),36905.0)</f>
        <v/>
      </c>
      <c r="I207" s="12">
        <f>IFERROR(C207-H207,"")</f>
        <v/>
      </c>
      <c r="J207" s="13">
        <f>IFERROR((C207-H207)/H207,"")</f>
        <v/>
      </c>
      <c r="K207" s="17">
        <f>IFERROR(__xludf.DUMMYFUNCTION("IFERROR(GOOGLEFINANCE(""NSE:""&amp;$A207,""marketcap""),"""")"),4.13808577E11)</f>
        <v/>
      </c>
      <c r="L207" s="15">
        <f>IFERROR(K207/SUMIF($B$2:$B$214,B207,$K$2:$K$214),"")</f>
        <v/>
      </c>
      <c r="M207" s="16">
        <f>IFERROR(K207/SUM($K$2:$K$214),"")</f>
        <v/>
      </c>
      <c r="N207" t="n">
        <v>0</v>
      </c>
      <c r="O207" t="n">
        <v>4</v>
      </c>
      <c r="P207" s="19" t="n">
        <v>37.95</v>
      </c>
      <c r="R207" s="19" t="n">
        <v>38.65</v>
      </c>
      <c r="S207" t="inlineStr">
        <is>
          <t>BEARISH</t>
        </is>
      </c>
      <c r="T207" s="19" t="n">
        <v>43.97</v>
      </c>
      <c r="V207" t="n">
        <v>43.56</v>
      </c>
    </row>
    <row r="208" ht="15.75" customHeight="1" s="23">
      <c r="A208" s="10" t="inlineStr">
        <is>
          <t>TRENT</t>
        </is>
      </c>
      <c r="B208" s="11" t="inlineStr">
        <is>
          <t>Retail &amp; Consumer Services</t>
        </is>
      </c>
      <c r="C208" s="12">
        <f>IFERROR(__xludf.DUMMYFUNCTION("GOOGLEFINANCE(""NSE:""&amp;$A208,""price"")"),2987.8)</f>
        <v/>
      </c>
      <c r="D208" s="12">
        <f>IFERROR(__xludf.DUMMYFUNCTION("GOOGLEFINANCE(""NSE:""&amp;$A208,""priceopen"")"),2913.6)</f>
        <v/>
      </c>
      <c r="E208" s="12">
        <f>IFERROR(__xludf.DUMMYFUNCTION("GOOGLEFINANCE(""NSE:""&amp;$A208,""high"")"),2989.9)</f>
        <v/>
      </c>
      <c r="F208" s="12">
        <f>IFERROR(__xludf.DUMMYFUNCTION("GOOGLEFINANCE(""NSE:""&amp;$A208,""low"")"),2905.1)</f>
        <v/>
      </c>
      <c r="G208" s="12">
        <f>IFERROR(__xludf.DUMMYFUNCTION("IFERROR(INDEX(GOOGLEFINANCE(""NSE:""&amp;$A208,""close"",TODAY()),2,2),C208)"),2987.8)</f>
        <v/>
      </c>
      <c r="H208" s="12">
        <f>IFERROR(__xludf.DUMMYFUNCTION("GOOGLEFINANCE(""NSE:""&amp;$A208,""closeyest"")"),2913.0)</f>
        <v/>
      </c>
      <c r="I208" s="12">
        <f>IFERROR(C208-H208,"")</f>
        <v/>
      </c>
      <c r="J208" s="13">
        <f>IFERROR((C208-H208)/H208,"")</f>
        <v/>
      </c>
      <c r="K208" s="17">
        <f>IFERROR(__xludf.DUMMYFUNCTION("IFERROR(GOOGLEFINANCE(""NSE:""&amp;$A208,""marketcap""),"""")"),1.061364742E12)</f>
        <v/>
      </c>
      <c r="L208" s="15">
        <f>IFERROR(K208/SUMIF($B$2:$B$214,B208,$K$2:$K$214),"")</f>
        <v/>
      </c>
      <c r="M208" s="16">
        <f>IFERROR(K208/SUM($K$2:$K$214),"")</f>
        <v/>
      </c>
      <c r="N208" t="n">
        <v>1</v>
      </c>
      <c r="O208" t="n">
        <v>0</v>
      </c>
      <c r="P208" s="19" t="n">
        <v>28.68</v>
      </c>
      <c r="R208" s="19" t="n">
        <v>53.15</v>
      </c>
      <c r="S208" t="inlineStr">
        <is>
          <t>NEUTRAL</t>
        </is>
      </c>
      <c r="T208" s="19" t="n">
        <v>63.94</v>
      </c>
      <c r="V208" t="n">
        <v>65.84999999999999</v>
      </c>
    </row>
    <row r="209" ht="15.75" customHeight="1" s="23">
      <c r="A209" s="10" t="inlineStr">
        <is>
          <t>VMM</t>
        </is>
      </c>
      <c r="B209" s="11" t="inlineStr">
        <is>
          <t>Retail &amp; Consumer Services</t>
        </is>
      </c>
      <c r="C209" s="12">
        <f>IFERROR(__xludf.DUMMYFUNCTION("GOOGLEFINANCE(""NSE:""&amp;$A209,""price"")"),97.0)</f>
        <v/>
      </c>
      <c r="D209" s="12">
        <f>IFERROR(__xludf.DUMMYFUNCTION("GOOGLEFINANCE(""NSE:""&amp;$A209,""priceopen"")"),96.64)</f>
        <v/>
      </c>
      <c r="E209" s="12">
        <f>IFERROR(__xludf.DUMMYFUNCTION("GOOGLEFINANCE(""NSE:""&amp;$A209,""high"")"),97.79)</f>
        <v/>
      </c>
      <c r="F209" s="12">
        <f>IFERROR(__xludf.DUMMYFUNCTION("GOOGLEFINANCE(""NSE:""&amp;$A209,""low"")"),95.06)</f>
        <v/>
      </c>
      <c r="G209" s="12">
        <f>IFERROR(__xludf.DUMMYFUNCTION("IFERROR(INDEX(GOOGLEFINANCE(""NSE:""&amp;$A209,""close"",TODAY()),2,2),C209)"),97.0)</f>
        <v/>
      </c>
      <c r="H209" s="12">
        <f>IFERROR(__xludf.DUMMYFUNCTION("GOOGLEFINANCE(""NSE:""&amp;$A209,""closeyest"")"),96.3)</f>
        <v/>
      </c>
      <c r="I209" s="12">
        <f>IFERROR(C209-H209,"")</f>
        <v/>
      </c>
      <c r="J209" s="13">
        <f>IFERROR((C209-H209)/H209,"")</f>
        <v/>
      </c>
      <c r="K209" s="17">
        <f>IFERROR(__xludf.DUMMYFUNCTION("IFERROR(GOOGLEFINANCE(""NSE:""&amp;$A209,""marketcap""),"""")"),4.46406416E11)</f>
        <v/>
      </c>
      <c r="L209" s="15">
        <f>IFERROR(K209/SUMIF($B$2:$B$214,B209,$K$2:$K$214),"")</f>
        <v/>
      </c>
      <c r="M209" s="16">
        <f>IFERROR(K209/SUM($K$2:$K$214),"")</f>
        <v/>
      </c>
      <c r="N209" t="n">
        <v>0</v>
      </c>
      <c r="O209" t="n">
        <v>3</v>
      </c>
      <c r="P209" s="19" t="n">
        <v>22.07</v>
      </c>
      <c r="R209" s="19" t="n">
        <v>18.99</v>
      </c>
      <c r="S209" t="inlineStr">
        <is>
          <t>NEUTRAL</t>
        </is>
      </c>
      <c r="T209" s="19" t="n">
        <v>29.82</v>
      </c>
      <c r="V209" t="n">
        <v>47.52</v>
      </c>
    </row>
    <row r="210" ht="15.75" customHeight="1" s="23">
      <c r="A210" s="10" t="inlineStr">
        <is>
          <t>BHARTIARTL</t>
        </is>
      </c>
      <c r="B210" s="11" t="inlineStr">
        <is>
          <t>Telecom</t>
        </is>
      </c>
      <c r="C210" s="12">
        <f>IFERROR(__xludf.DUMMYFUNCTION("GOOGLEFINANCE(""NSE:""&amp;$A210,""price"")"),1806.5)</f>
        <v/>
      </c>
      <c r="D210" s="12">
        <f>IFERROR(__xludf.DUMMYFUNCTION("GOOGLEFINANCE(""NSE:""&amp;$A210,""priceopen"")"),1756.2)</f>
        <v/>
      </c>
      <c r="E210" s="12">
        <f>IFERROR(__xludf.DUMMYFUNCTION("GOOGLEFINANCE(""NSE:""&amp;$A210,""high"")"),1806.5)</f>
        <v/>
      </c>
      <c r="F210" s="12">
        <f>IFERROR(__xludf.DUMMYFUNCTION("GOOGLEFINANCE(""NSE:""&amp;$A210,""low"")"),1756.2)</f>
        <v/>
      </c>
      <c r="G210" s="12">
        <f>IFERROR(__xludf.DUMMYFUNCTION("IFERROR(INDEX(GOOGLEFINANCE(""NSE:""&amp;$A210,""close"",TODAY()),2,2),C210)"),1806.5)</f>
        <v/>
      </c>
      <c r="H210" s="12">
        <f>IFERROR(__xludf.DUMMYFUNCTION("GOOGLEFINANCE(""NSE:""&amp;$A210,""closeyest"")"),1778.7)</f>
        <v/>
      </c>
      <c r="I210" s="12">
        <f>IFERROR(C210-H210,"")</f>
        <v/>
      </c>
      <c r="J210" s="13">
        <f>IFERROR((C210-H210)/H210,"")</f>
        <v/>
      </c>
      <c r="K210" s="17">
        <f>IFERROR(__xludf.DUMMYFUNCTION("IFERROR(GOOGLEFINANCE(""NSE:""&amp;$A210,""marketcap""),"""")"),1.0822986719615E13)</f>
        <v/>
      </c>
      <c r="L210" s="15">
        <f>IFERROR(K210/SUMIF($B$2:$B$214,B210,$K$2:$K$214),"")</f>
        <v/>
      </c>
      <c r="M210" s="16">
        <f>IFERROR(K210/SUM($K$2:$K$214),"")</f>
        <v/>
      </c>
      <c r="N210" t="n">
        <v>4</v>
      </c>
      <c r="O210" t="n">
        <v>1</v>
      </c>
      <c r="P210" s="19" t="n">
        <v>46.88</v>
      </c>
      <c r="R210" s="19" t="n">
        <v>41.4</v>
      </c>
      <c r="S210" t="inlineStr">
        <is>
          <t>NEUTRAL</t>
        </is>
      </c>
      <c r="T210" s="19" t="n">
        <v>43.13</v>
      </c>
      <c r="V210" t="n">
        <v>58.27</v>
      </c>
    </row>
    <row r="211" ht="15.75" customHeight="1" s="23">
      <c r="A211" s="10" t="inlineStr">
        <is>
          <t>IDEA</t>
        </is>
      </c>
      <c r="B211" s="11" t="inlineStr">
        <is>
          <t>Telecom</t>
        </is>
      </c>
      <c r="C211" s="12">
        <f>IFERROR(__xludf.DUMMYFUNCTION("GOOGLEFINANCE(""NSE:""&amp;$A211,""price"")"),12.8)</f>
        <v/>
      </c>
      <c r="D211" s="12">
        <f>IFERROR(__xludf.DUMMYFUNCTION("GOOGLEFINANCE(""NSE:""&amp;$A211,""priceopen"")"),12.69)</f>
        <v/>
      </c>
      <c r="E211" s="12">
        <f>IFERROR(__xludf.DUMMYFUNCTION("GOOGLEFINANCE(""NSE:""&amp;$A211,""high"")"),12.87)</f>
        <v/>
      </c>
      <c r="F211" s="12">
        <f>IFERROR(__xludf.DUMMYFUNCTION("GOOGLEFINANCE(""NSE:""&amp;$A211,""low"")"),12.58)</f>
        <v/>
      </c>
      <c r="G211" s="12">
        <f>IFERROR(__xludf.DUMMYFUNCTION("IFERROR(INDEX(GOOGLEFINANCE(""NSE:""&amp;$A211,""close"",TODAY()),2,2),C211)"),12.8)</f>
        <v/>
      </c>
      <c r="H211" s="12">
        <f>IFERROR(__xludf.DUMMYFUNCTION("GOOGLEFINANCE(""NSE:""&amp;$A211,""closeyest"")"),12.67)</f>
        <v/>
      </c>
      <c r="I211" s="12">
        <f>IFERROR(C211-H211,"")</f>
        <v/>
      </c>
      <c r="J211" s="13">
        <f>IFERROR((C211-H211)/H211,"")</f>
        <v/>
      </c>
      <c r="K211" s="17">
        <f>IFERROR(__xludf.DUMMYFUNCTION("IFERROR(GOOGLEFINANCE(""NSE:""&amp;$A211,""marketcap""),"""")"),1.386790420664E12)</f>
        <v/>
      </c>
      <c r="L211" s="15">
        <f>IFERROR(K211/SUMIF($B$2:$B$214,B211,$K$2:$K$214),"")</f>
        <v/>
      </c>
      <c r="M211" s="16">
        <f>IFERROR(K211/SUM($K$2:$K$214),"")</f>
        <v/>
      </c>
      <c r="N211" t="n">
        <v>2</v>
      </c>
      <c r="O211" t="n">
        <v>2</v>
      </c>
      <c r="P211" s="19" t="n">
        <v>67.48</v>
      </c>
      <c r="R211" s="19" t="n">
        <v>40.31</v>
      </c>
      <c r="S211" t="inlineStr">
        <is>
          <t>NEUTRAL</t>
        </is>
      </c>
      <c r="T211" s="19" t="n">
        <v>27.49</v>
      </c>
      <c r="V211" t="n">
        <v>50</v>
      </c>
    </row>
    <row r="212" ht="15.75" customHeight="1" s="23">
      <c r="A212" s="10" t="inlineStr">
        <is>
          <t>INDUSTOWER</t>
        </is>
      </c>
      <c r="B212" s="11" t="inlineStr">
        <is>
          <t>Telecom</t>
        </is>
      </c>
      <c r="C212" s="12">
        <f>IFERROR(__xludf.DUMMYFUNCTION("GOOGLEFINANCE(""NSE:""&amp;$A212,""price"")"),378.75)</f>
        <v/>
      </c>
      <c r="D212" s="12">
        <f>IFERROR(__xludf.DUMMYFUNCTION("GOOGLEFINANCE(""NSE:""&amp;$A212,""priceopen"")"),375.65)</f>
        <v/>
      </c>
      <c r="E212" s="12">
        <f>IFERROR(__xludf.DUMMYFUNCTION("GOOGLEFINANCE(""NSE:""&amp;$A212,""high"")"),378.75)</f>
        <v/>
      </c>
      <c r="F212" s="12">
        <f>IFERROR(__xludf.DUMMYFUNCTION("GOOGLEFINANCE(""NSE:""&amp;$A212,""low"")"),373.0)</f>
        <v/>
      </c>
      <c r="G212" s="12">
        <f>IFERROR(__xludf.DUMMYFUNCTION("IFERROR(INDEX(GOOGLEFINANCE(""NSE:""&amp;$A212,""close"",TODAY()),2,2),C212)"),378.75)</f>
        <v/>
      </c>
      <c r="H212" s="12">
        <f>IFERROR(__xludf.DUMMYFUNCTION("GOOGLEFINANCE(""NSE:""&amp;$A212,""closeyest"")"),375.65)</f>
        <v/>
      </c>
      <c r="I212" s="12">
        <f>IFERROR(C212-H212,"")</f>
        <v/>
      </c>
      <c r="J212" s="13">
        <f>IFERROR((C212-H212)/H212,"")</f>
        <v/>
      </c>
      <c r="K212" s="17">
        <f>IFERROR(__xludf.DUMMYFUNCTION("IFERROR(GOOGLEFINANCE(""NSE:""&amp;$A212,""marketcap""),"""")"),9.93868937886E11)</f>
        <v/>
      </c>
      <c r="L212" s="15">
        <f>IFERROR(K212/SUMIF($B$2:$B$214,B212,$K$2:$K$214),"")</f>
        <v/>
      </c>
      <c r="M212" s="16">
        <f>IFERROR(K212/SUM($K$2:$K$214),"")</f>
        <v/>
      </c>
      <c r="N212" t="n">
        <v>0</v>
      </c>
      <c r="O212" t="n">
        <v>1</v>
      </c>
      <c r="P212" s="19" t="n">
        <v>59.47</v>
      </c>
      <c r="R212" s="19" t="n">
        <v>41.15</v>
      </c>
      <c r="S212" t="inlineStr">
        <is>
          <t>NEUTRAL</t>
        </is>
      </c>
      <c r="T212" s="19" t="n">
        <v>45.46</v>
      </c>
      <c r="V212" t="n">
        <v>52.78</v>
      </c>
    </row>
    <row r="213" ht="15.75" customHeight="1" s="23">
      <c r="A213" s="10" t="inlineStr">
        <is>
          <t>INDHOTEL</t>
        </is>
      </c>
      <c r="B213" s="11" t="inlineStr">
        <is>
          <t>Travel &amp; Hospitality</t>
        </is>
      </c>
      <c r="C213" s="12">
        <f>IFERROR(__xludf.DUMMYFUNCTION("GOOGLEFINANCE(""NSE:""&amp;$A213,""price"")"),724.15)</f>
        <v/>
      </c>
      <c r="D213" s="12">
        <f>IFERROR(__xludf.DUMMYFUNCTION("GOOGLEFINANCE(""NSE:""&amp;$A213,""priceopen"")"),714.0)</f>
        <v/>
      </c>
      <c r="E213" s="12">
        <f>IFERROR(__xludf.DUMMYFUNCTION("GOOGLEFINANCE(""NSE:""&amp;$A213,""high"")"),724.15)</f>
        <v/>
      </c>
      <c r="F213" s="12">
        <f>IFERROR(__xludf.DUMMYFUNCTION("GOOGLEFINANCE(""NSE:""&amp;$A213,""low"")"),709.55)</f>
        <v/>
      </c>
      <c r="G213" s="12">
        <f>IFERROR(__xludf.DUMMYFUNCTION("IFERROR(INDEX(GOOGLEFINANCE(""NSE:""&amp;$A213,""close"",TODAY()),2,2),C213)"),724.15)</f>
        <v/>
      </c>
      <c r="H213" s="12">
        <f>IFERROR(__xludf.DUMMYFUNCTION("GOOGLEFINANCE(""NSE:""&amp;$A213,""closeyest"")"),711.5)</f>
        <v/>
      </c>
      <c r="I213" s="12">
        <f>IFERROR(C213-H213,"")</f>
        <v/>
      </c>
      <c r="J213" s="13">
        <f>IFERROR((C213-H213)/H213,"")</f>
        <v/>
      </c>
      <c r="K213" s="17">
        <f>IFERROR(__xludf.DUMMYFUNCTION("IFERROR(GOOGLEFINANCE(""NSE:""&amp;$A213,""marketcap""),"""")"),1.031005684E12)</f>
        <v/>
      </c>
      <c r="L213" s="15">
        <f>IFERROR(K213/SUMIF($B$2:$B$214,B213,$K$2:$K$214),"")</f>
        <v/>
      </c>
      <c r="M213" s="16">
        <f>IFERROR(K213/SUM($K$2:$K$214),"")</f>
        <v/>
      </c>
      <c r="N213" t="n">
        <v>0</v>
      </c>
      <c r="O213" t="n">
        <v>1</v>
      </c>
      <c r="P213" s="19" t="n">
        <v>46.45</v>
      </c>
      <c r="R213" s="19" t="n">
        <v>40.68</v>
      </c>
      <c r="S213" t="inlineStr">
        <is>
          <t>NEUTRAL</t>
        </is>
      </c>
      <c r="T213" s="19" t="n">
        <v>42.7</v>
      </c>
      <c r="V213" t="n">
        <v>70.03</v>
      </c>
    </row>
    <row r="214" ht="15.75" customHeight="1" s="23">
      <c r="A214" s="10" t="inlineStr">
        <is>
          <t>INDIGO</t>
        </is>
      </c>
      <c r="B214" s="11" t="inlineStr">
        <is>
          <t>Travel &amp; Hospitality</t>
        </is>
      </c>
      <c r="C214" s="12">
        <f>IFERROR(__xludf.DUMMYFUNCTION("GOOGLEFINANCE(""NSE:""&amp;$A214,""price"")"),4800.4)</f>
        <v/>
      </c>
      <c r="D214" s="12">
        <f>IFERROR(__xludf.DUMMYFUNCTION("GOOGLEFINANCE(""NSE:""&amp;$A214,""priceopen"")"),4795.0)</f>
        <v/>
      </c>
      <c r="E214" s="12">
        <f>IFERROR(__xludf.DUMMYFUNCTION("GOOGLEFINANCE(""NSE:""&amp;$A214,""high"")"),4815.5)</f>
        <v/>
      </c>
      <c r="F214" s="12">
        <f>IFERROR(__xludf.DUMMYFUNCTION("GOOGLEFINANCE(""NSE:""&amp;$A214,""low"")"),4749.6)</f>
        <v/>
      </c>
      <c r="G214" s="12">
        <f>IFERROR(__xludf.DUMMYFUNCTION("IFERROR(INDEX(GOOGLEFINANCE(""NSE:""&amp;$A214,""close"",TODAY()),2,2),C214)"),4800.4)</f>
        <v/>
      </c>
      <c r="H214" s="12">
        <f>IFERROR(__xludf.DUMMYFUNCTION("GOOGLEFINANCE(""NSE:""&amp;$A214,""closeyest"")"),4795.0)</f>
        <v/>
      </c>
      <c r="I214" s="12">
        <f>IFERROR(C214-H214,"")</f>
        <v/>
      </c>
      <c r="J214" s="13">
        <f>IFERROR((C214-H214)/H214,"")</f>
        <v/>
      </c>
      <c r="K214" s="17">
        <f>IFERROR(__xludf.DUMMYFUNCTION("IFERROR(GOOGLEFINANCE(""NSE:""&amp;$A214,""marketcap""),"""")"),1.856153828839E12)</f>
        <v/>
      </c>
      <c r="L214" s="15">
        <f>IFERROR(K214/SUMIF($B$2:$B$214,B214,$K$2:$K$214),"")</f>
        <v/>
      </c>
      <c r="M214" s="16">
        <f>IFERROR(K214/SUM($K$2:$K$214),"")</f>
        <v/>
      </c>
      <c r="N214" t="n">
        <v>0</v>
      </c>
      <c r="O214" t="n">
        <v>3</v>
      </c>
      <c r="P214" s="19" t="n">
        <v>40.69</v>
      </c>
      <c r="R214" s="19" t="n">
        <v>29.41</v>
      </c>
      <c r="S214" t="inlineStr">
        <is>
          <t>NEUTRAL</t>
        </is>
      </c>
      <c r="T214" s="19" t="n">
        <v>33.26</v>
      </c>
      <c r="V214" t="n">
        <v>33.69</v>
      </c>
    </row>
    <row r="215" ht="15.75" customHeight="1" s="23">
      <c r="L215" s="20" t="n"/>
      <c r="M215" s="21" t="n"/>
      <c r="P215" s="22" t="n"/>
      <c r="R215" s="22" t="n"/>
      <c r="T215" s="22" t="n"/>
    </row>
    <row r="216" ht="15.75" customHeight="1" s="23">
      <c r="L216" s="20" t="n"/>
      <c r="M216" s="21" t="n"/>
      <c r="P216" s="22" t="n"/>
      <c r="R216" s="22" t="n"/>
      <c r="T216" s="22" t="n"/>
    </row>
    <row r="217" ht="15.75" customHeight="1" s="23">
      <c r="L217" s="20" t="n"/>
      <c r="M217" s="21" t="n"/>
      <c r="P217" s="22" t="n"/>
      <c r="R217" s="22" t="n"/>
      <c r="T217" s="22" t="n"/>
    </row>
    <row r="218" ht="15.75" customHeight="1" s="23">
      <c r="L218" s="20" t="n"/>
      <c r="M218" s="21" t="n"/>
      <c r="P218" s="22" t="n"/>
      <c r="R218" s="22" t="n"/>
      <c r="T218" s="22" t="n"/>
    </row>
    <row r="219" ht="15.75" customHeight="1" s="23">
      <c r="L219" s="20" t="n"/>
      <c r="M219" s="21" t="n"/>
      <c r="P219" s="22" t="n"/>
      <c r="R219" s="22" t="n"/>
      <c r="T219" s="22" t="n"/>
    </row>
    <row r="220" ht="15.75" customHeight="1" s="23">
      <c r="L220" s="20" t="n"/>
      <c r="M220" s="21" t="n"/>
      <c r="P220" s="22" t="n"/>
      <c r="R220" s="22" t="n"/>
      <c r="T220" s="22" t="n"/>
    </row>
    <row r="221" ht="15.75" customHeight="1" s="23">
      <c r="L221" s="20" t="n"/>
      <c r="M221" s="21" t="n"/>
      <c r="P221" s="22" t="n"/>
      <c r="R221" s="22" t="n"/>
      <c r="T221" s="22" t="n"/>
    </row>
    <row r="222" ht="15.75" customHeight="1" s="23">
      <c r="L222" s="20" t="n"/>
      <c r="M222" s="21" t="n"/>
      <c r="P222" s="22" t="n"/>
      <c r="R222" s="22" t="n"/>
      <c r="T222" s="22" t="n"/>
    </row>
    <row r="223" ht="15.75" customHeight="1" s="23">
      <c r="L223" s="20" t="n"/>
      <c r="M223" s="21" t="n"/>
      <c r="P223" s="22" t="n"/>
      <c r="R223" s="22" t="n"/>
      <c r="T223" s="22" t="n"/>
    </row>
    <row r="224" ht="15.75" customHeight="1" s="23">
      <c r="L224" s="20" t="n"/>
      <c r="M224" s="21" t="n"/>
      <c r="P224" s="22" t="n"/>
      <c r="R224" s="22" t="n"/>
      <c r="T224" s="22" t="n"/>
    </row>
    <row r="225" ht="15.75" customHeight="1" s="23">
      <c r="L225" s="20" t="n"/>
      <c r="M225" s="21" t="n"/>
      <c r="P225" s="22" t="n"/>
      <c r="R225" s="22" t="n"/>
      <c r="T225" s="22" t="n"/>
    </row>
    <row r="226" ht="15.75" customHeight="1" s="23">
      <c r="L226" s="20" t="n"/>
      <c r="M226" s="21" t="n"/>
      <c r="P226" s="22" t="n"/>
      <c r="R226" s="22" t="n"/>
      <c r="T226" s="22" t="n"/>
    </row>
    <row r="227" ht="15.75" customHeight="1" s="23">
      <c r="L227" s="20" t="n"/>
      <c r="M227" s="21" t="n"/>
      <c r="P227" s="22" t="n"/>
      <c r="R227" s="22" t="n"/>
      <c r="T227" s="22" t="n"/>
    </row>
    <row r="228" ht="15.75" customHeight="1" s="23">
      <c r="L228" s="20" t="n"/>
      <c r="M228" s="21" t="n"/>
      <c r="P228" s="22" t="n"/>
      <c r="R228" s="22" t="n"/>
      <c r="T228" s="22" t="n"/>
    </row>
    <row r="229" ht="15.75" customHeight="1" s="23">
      <c r="L229" s="20" t="n"/>
      <c r="M229" s="21" t="n"/>
      <c r="P229" s="22" t="n"/>
      <c r="R229" s="22" t="n"/>
      <c r="T229" s="22" t="n"/>
    </row>
    <row r="230" ht="15.75" customHeight="1" s="23">
      <c r="L230" s="20" t="n"/>
      <c r="M230" s="21" t="n"/>
      <c r="P230" s="22" t="n"/>
      <c r="R230" s="22" t="n"/>
      <c r="T230" s="22" t="n"/>
    </row>
    <row r="231" ht="15.75" customHeight="1" s="23">
      <c r="L231" s="20" t="n"/>
      <c r="M231" s="21" t="n"/>
      <c r="P231" s="22" t="n"/>
      <c r="R231" s="22" t="n"/>
      <c r="T231" s="22" t="n"/>
    </row>
    <row r="232" ht="15.75" customHeight="1" s="23">
      <c r="L232" s="20" t="n"/>
      <c r="M232" s="21" t="n"/>
      <c r="P232" s="22" t="n"/>
      <c r="R232" s="22" t="n"/>
      <c r="T232" s="22" t="n"/>
    </row>
    <row r="233" ht="15.75" customHeight="1" s="23">
      <c r="L233" s="20" t="n"/>
      <c r="M233" s="21" t="n"/>
      <c r="P233" s="22" t="n"/>
      <c r="R233" s="22" t="n"/>
      <c r="T233" s="22" t="n"/>
    </row>
    <row r="234" ht="15.75" customHeight="1" s="23">
      <c r="L234" s="20" t="n"/>
      <c r="M234" s="21" t="n"/>
      <c r="P234" s="22" t="n"/>
      <c r="R234" s="22" t="n"/>
      <c r="T234" s="22" t="n"/>
    </row>
    <row r="235" ht="15.75" customHeight="1" s="23">
      <c r="L235" s="20" t="n"/>
      <c r="M235" s="21" t="n"/>
      <c r="P235" s="22" t="n"/>
      <c r="R235" s="22" t="n"/>
      <c r="T235" s="22" t="n"/>
    </row>
    <row r="236" ht="15.75" customHeight="1" s="23">
      <c r="L236" s="20" t="n"/>
      <c r="M236" s="21" t="n"/>
      <c r="P236" s="22" t="n"/>
      <c r="R236" s="22" t="n"/>
      <c r="T236" s="22" t="n"/>
    </row>
    <row r="237" ht="15.75" customHeight="1" s="23">
      <c r="L237" s="20" t="n"/>
      <c r="M237" s="21" t="n"/>
      <c r="P237" s="22" t="n"/>
      <c r="R237" s="22" t="n"/>
      <c r="T237" s="22" t="n"/>
    </row>
    <row r="238" ht="15.75" customHeight="1" s="23">
      <c r="L238" s="20" t="n"/>
      <c r="M238" s="21" t="n"/>
      <c r="P238" s="22" t="n"/>
      <c r="R238" s="22" t="n"/>
      <c r="T238" s="22" t="n"/>
    </row>
    <row r="239" ht="15.75" customHeight="1" s="23">
      <c r="L239" s="20" t="n"/>
      <c r="M239" s="21" t="n"/>
      <c r="P239" s="22" t="n"/>
      <c r="R239" s="22" t="n"/>
      <c r="T239" s="22" t="n"/>
    </row>
    <row r="240" ht="15.75" customHeight="1" s="23">
      <c r="L240" s="20" t="n"/>
      <c r="M240" s="21" t="n"/>
      <c r="P240" s="22" t="n"/>
      <c r="R240" s="22" t="n"/>
      <c r="T240" s="22" t="n"/>
    </row>
    <row r="241" ht="15.75" customHeight="1" s="23">
      <c r="L241" s="20" t="n"/>
      <c r="M241" s="21" t="n"/>
      <c r="P241" s="22" t="n"/>
      <c r="R241" s="22" t="n"/>
      <c r="T241" s="22" t="n"/>
    </row>
    <row r="242" ht="15.75" customHeight="1" s="23">
      <c r="L242" s="20" t="n"/>
      <c r="M242" s="21" t="n"/>
      <c r="P242" s="22" t="n"/>
      <c r="R242" s="22" t="n"/>
      <c r="T242" s="22" t="n"/>
    </row>
    <row r="243" ht="15.75" customHeight="1" s="23">
      <c r="L243" s="20" t="n"/>
      <c r="M243" s="21" t="n"/>
      <c r="P243" s="22" t="n"/>
      <c r="R243" s="22" t="n"/>
      <c r="T243" s="22" t="n"/>
    </row>
    <row r="244" ht="15.75" customHeight="1" s="23">
      <c r="L244" s="20" t="n"/>
      <c r="M244" s="21" t="n"/>
      <c r="P244" s="22" t="n"/>
      <c r="R244" s="22" t="n"/>
      <c r="T244" s="22" t="n"/>
    </row>
    <row r="245" ht="15.75" customHeight="1" s="23">
      <c r="L245" s="20" t="n"/>
      <c r="M245" s="21" t="n"/>
      <c r="P245" s="22" t="n"/>
      <c r="R245" s="22" t="n"/>
      <c r="T245" s="22" t="n"/>
    </row>
    <row r="246" ht="15.75" customHeight="1" s="23">
      <c r="L246" s="20" t="n"/>
      <c r="M246" s="21" t="n"/>
      <c r="P246" s="22" t="n"/>
      <c r="R246" s="22" t="n"/>
      <c r="T246" s="22" t="n"/>
    </row>
    <row r="247" ht="15.75" customHeight="1" s="23">
      <c r="L247" s="20" t="n"/>
      <c r="M247" s="21" t="n"/>
      <c r="P247" s="22" t="n"/>
      <c r="R247" s="22" t="n"/>
      <c r="T247" s="22" t="n"/>
    </row>
    <row r="248" ht="15.75" customHeight="1" s="23">
      <c r="L248" s="20" t="n"/>
      <c r="M248" s="21" t="n"/>
      <c r="P248" s="22" t="n"/>
      <c r="R248" s="22" t="n"/>
      <c r="T248" s="22" t="n"/>
    </row>
    <row r="249" ht="15.75" customHeight="1" s="23">
      <c r="L249" s="20" t="n"/>
      <c r="M249" s="21" t="n"/>
      <c r="P249" s="22" t="n"/>
      <c r="R249" s="22" t="n"/>
      <c r="T249" s="22" t="n"/>
    </row>
    <row r="250" ht="15.75" customHeight="1" s="23">
      <c r="L250" s="20" t="n"/>
      <c r="M250" s="21" t="n"/>
      <c r="P250" s="22" t="n"/>
      <c r="R250" s="22" t="n"/>
      <c r="T250" s="22" t="n"/>
    </row>
    <row r="251" ht="15.75" customHeight="1" s="23">
      <c r="L251" s="20" t="n"/>
      <c r="M251" s="21" t="n"/>
      <c r="P251" s="22" t="n"/>
      <c r="R251" s="22" t="n"/>
      <c r="T251" s="22" t="n"/>
    </row>
    <row r="252" ht="15.75" customHeight="1" s="23">
      <c r="L252" s="20" t="n"/>
      <c r="M252" s="21" t="n"/>
      <c r="P252" s="22" t="n"/>
      <c r="R252" s="22" t="n"/>
      <c r="T252" s="22" t="n"/>
    </row>
    <row r="253" ht="15.75" customHeight="1" s="23">
      <c r="L253" s="20" t="n"/>
      <c r="M253" s="21" t="n"/>
      <c r="P253" s="22" t="n"/>
      <c r="R253" s="22" t="n"/>
      <c r="T253" s="22" t="n"/>
    </row>
    <row r="254" ht="15.75" customHeight="1" s="23">
      <c r="L254" s="20" t="n"/>
      <c r="M254" s="21" t="n"/>
      <c r="P254" s="22" t="n"/>
      <c r="R254" s="22" t="n"/>
      <c r="T254" s="22" t="n"/>
    </row>
    <row r="255" ht="15.75" customHeight="1" s="23">
      <c r="L255" s="20" t="n"/>
      <c r="M255" s="21" t="n"/>
      <c r="P255" s="22" t="n"/>
      <c r="R255" s="22" t="n"/>
      <c r="T255" s="22" t="n"/>
    </row>
    <row r="256" ht="15.75" customHeight="1" s="23">
      <c r="L256" s="20" t="n"/>
      <c r="M256" s="21" t="n"/>
      <c r="P256" s="22" t="n"/>
      <c r="R256" s="22" t="n"/>
      <c r="T256" s="22" t="n"/>
    </row>
    <row r="257" ht="15.75" customHeight="1" s="23">
      <c r="L257" s="20" t="n"/>
      <c r="M257" s="21" t="n"/>
      <c r="P257" s="22" t="n"/>
      <c r="R257" s="22" t="n"/>
      <c r="T257" s="22" t="n"/>
    </row>
    <row r="258" ht="15.75" customHeight="1" s="23">
      <c r="L258" s="20" t="n"/>
      <c r="M258" s="21" t="n"/>
      <c r="P258" s="22" t="n"/>
      <c r="R258" s="22" t="n"/>
      <c r="T258" s="22" t="n"/>
    </row>
    <row r="259" ht="15.75" customHeight="1" s="23">
      <c r="L259" s="20" t="n"/>
      <c r="M259" s="21" t="n"/>
      <c r="P259" s="22" t="n"/>
      <c r="R259" s="22" t="n"/>
      <c r="T259" s="22" t="n"/>
    </row>
    <row r="260" ht="15.75" customHeight="1" s="23">
      <c r="L260" s="20" t="n"/>
      <c r="M260" s="21" t="n"/>
      <c r="P260" s="22" t="n"/>
      <c r="R260" s="22" t="n"/>
      <c r="T260" s="22" t="n"/>
    </row>
    <row r="261" ht="15.75" customHeight="1" s="23">
      <c r="L261" s="20" t="n"/>
      <c r="M261" s="21" t="n"/>
      <c r="P261" s="22" t="n"/>
      <c r="R261" s="22" t="n"/>
      <c r="T261" s="22" t="n"/>
    </row>
    <row r="262" ht="15.75" customHeight="1" s="23">
      <c r="L262" s="20" t="n"/>
      <c r="M262" s="21" t="n"/>
      <c r="P262" s="22" t="n"/>
      <c r="R262" s="22" t="n"/>
      <c r="T262" s="22" t="n"/>
    </row>
    <row r="263" ht="15.75" customHeight="1" s="23">
      <c r="L263" s="20" t="n"/>
      <c r="M263" s="21" t="n"/>
      <c r="P263" s="22" t="n"/>
      <c r="R263" s="22" t="n"/>
      <c r="T263" s="22" t="n"/>
    </row>
    <row r="264" ht="15.75" customHeight="1" s="23">
      <c r="L264" s="20" t="n"/>
      <c r="M264" s="21" t="n"/>
      <c r="P264" s="22" t="n"/>
      <c r="R264" s="22" t="n"/>
      <c r="T264" s="22" t="n"/>
    </row>
    <row r="265" ht="15.75" customHeight="1" s="23">
      <c r="L265" s="20" t="n"/>
      <c r="M265" s="21" t="n"/>
      <c r="P265" s="22" t="n"/>
      <c r="R265" s="22" t="n"/>
      <c r="T265" s="22" t="n"/>
    </row>
    <row r="266" ht="15.75" customHeight="1" s="23">
      <c r="L266" s="20" t="n"/>
      <c r="M266" s="21" t="n"/>
      <c r="P266" s="22" t="n"/>
      <c r="R266" s="22" t="n"/>
      <c r="T266" s="22" t="n"/>
    </row>
    <row r="267" ht="15.75" customHeight="1" s="23">
      <c r="L267" s="20" t="n"/>
      <c r="M267" s="21" t="n"/>
      <c r="P267" s="22" t="n"/>
      <c r="R267" s="22" t="n"/>
      <c r="T267" s="22" t="n"/>
    </row>
    <row r="268" ht="15.75" customHeight="1" s="23">
      <c r="L268" s="20" t="n"/>
      <c r="M268" s="21" t="n"/>
      <c r="P268" s="22" t="n"/>
      <c r="R268" s="22" t="n"/>
      <c r="T268" s="22" t="n"/>
    </row>
    <row r="269" ht="15.75" customHeight="1" s="23">
      <c r="L269" s="20" t="n"/>
      <c r="M269" s="21" t="n"/>
      <c r="P269" s="22" t="n"/>
      <c r="R269" s="22" t="n"/>
      <c r="T269" s="22" t="n"/>
    </row>
    <row r="270" ht="15.75" customHeight="1" s="23">
      <c r="L270" s="20" t="n"/>
      <c r="M270" s="21" t="n"/>
      <c r="P270" s="22" t="n"/>
      <c r="R270" s="22" t="n"/>
      <c r="T270" s="22" t="n"/>
    </row>
    <row r="271" ht="15.75" customHeight="1" s="23">
      <c r="L271" s="20" t="n"/>
      <c r="M271" s="21" t="n"/>
      <c r="P271" s="22" t="n"/>
      <c r="R271" s="22" t="n"/>
      <c r="T271" s="22" t="n"/>
    </row>
    <row r="272" ht="15.75" customHeight="1" s="23">
      <c r="L272" s="20" t="n"/>
      <c r="M272" s="21" t="n"/>
      <c r="P272" s="22" t="n"/>
      <c r="R272" s="22" t="n"/>
      <c r="T272" s="22" t="n"/>
    </row>
    <row r="273" ht="15.75" customHeight="1" s="23">
      <c r="L273" s="20" t="n"/>
      <c r="M273" s="21" t="n"/>
      <c r="P273" s="22" t="n"/>
      <c r="R273" s="22" t="n"/>
      <c r="T273" s="22" t="n"/>
    </row>
    <row r="274" ht="15.75" customHeight="1" s="23">
      <c r="L274" s="20" t="n"/>
      <c r="M274" s="21" t="n"/>
      <c r="P274" s="22" t="n"/>
      <c r="R274" s="22" t="n"/>
      <c r="T274" s="22" t="n"/>
    </row>
    <row r="275" ht="15.75" customHeight="1" s="23">
      <c r="L275" s="20" t="n"/>
      <c r="M275" s="21" t="n"/>
      <c r="P275" s="22" t="n"/>
      <c r="R275" s="22" t="n"/>
      <c r="T275" s="22" t="n"/>
    </row>
    <row r="276" ht="15.75" customHeight="1" s="23">
      <c r="L276" s="20" t="n"/>
      <c r="M276" s="21" t="n"/>
      <c r="P276" s="22" t="n"/>
      <c r="R276" s="22" t="n"/>
      <c r="T276" s="22" t="n"/>
    </row>
    <row r="277" ht="15.75" customHeight="1" s="23">
      <c r="L277" s="20" t="n"/>
      <c r="M277" s="21" t="n"/>
      <c r="P277" s="22" t="n"/>
      <c r="R277" s="22" t="n"/>
      <c r="T277" s="22" t="n"/>
    </row>
    <row r="278" ht="15.75" customHeight="1" s="23">
      <c r="L278" s="20" t="n"/>
      <c r="M278" s="21" t="n"/>
      <c r="P278" s="22" t="n"/>
      <c r="R278" s="22" t="n"/>
      <c r="T278" s="22" t="n"/>
    </row>
    <row r="279" ht="15.75" customHeight="1" s="23">
      <c r="L279" s="20" t="n"/>
      <c r="M279" s="21" t="n"/>
      <c r="P279" s="22" t="n"/>
      <c r="R279" s="22" t="n"/>
      <c r="T279" s="22" t="n"/>
    </row>
    <row r="280" ht="15.75" customHeight="1" s="23">
      <c r="L280" s="20" t="n"/>
      <c r="M280" s="21" t="n"/>
      <c r="P280" s="22" t="n"/>
      <c r="R280" s="22" t="n"/>
      <c r="T280" s="22" t="n"/>
    </row>
    <row r="281" ht="15.75" customHeight="1" s="23">
      <c r="L281" s="20" t="n"/>
      <c r="M281" s="21" t="n"/>
      <c r="P281" s="22" t="n"/>
      <c r="R281" s="22" t="n"/>
      <c r="T281" s="22" t="n"/>
    </row>
    <row r="282" ht="15.75" customHeight="1" s="23">
      <c r="L282" s="20" t="n"/>
      <c r="M282" s="21" t="n"/>
      <c r="P282" s="22" t="n"/>
      <c r="R282" s="22" t="n"/>
      <c r="T282" s="22" t="n"/>
    </row>
    <row r="283" ht="15.75" customHeight="1" s="23">
      <c r="L283" s="20" t="n"/>
      <c r="M283" s="21" t="n"/>
      <c r="P283" s="22" t="n"/>
      <c r="R283" s="22" t="n"/>
      <c r="T283" s="22" t="n"/>
    </row>
    <row r="284" ht="15.75" customHeight="1" s="23">
      <c r="L284" s="20" t="n"/>
      <c r="M284" s="21" t="n"/>
      <c r="P284" s="22" t="n"/>
      <c r="R284" s="22" t="n"/>
      <c r="T284" s="22" t="n"/>
    </row>
    <row r="285" ht="15.75" customHeight="1" s="23">
      <c r="L285" s="20" t="n"/>
      <c r="M285" s="21" t="n"/>
      <c r="P285" s="22" t="n"/>
      <c r="R285" s="22" t="n"/>
      <c r="T285" s="22" t="n"/>
    </row>
    <row r="286" ht="15.75" customHeight="1" s="23">
      <c r="L286" s="20" t="n"/>
      <c r="M286" s="21" t="n"/>
      <c r="P286" s="22" t="n"/>
      <c r="R286" s="22" t="n"/>
      <c r="T286" s="22" t="n"/>
    </row>
    <row r="287" ht="15.75" customHeight="1" s="23">
      <c r="L287" s="20" t="n"/>
      <c r="M287" s="21" t="n"/>
      <c r="P287" s="22" t="n"/>
      <c r="R287" s="22" t="n"/>
      <c r="T287" s="22" t="n"/>
    </row>
    <row r="288" ht="15.75" customHeight="1" s="23">
      <c r="L288" s="20" t="n"/>
      <c r="M288" s="21" t="n"/>
      <c r="P288" s="22" t="n"/>
      <c r="R288" s="22" t="n"/>
      <c r="T288" s="22" t="n"/>
    </row>
    <row r="289" ht="15.75" customHeight="1" s="23">
      <c r="L289" s="20" t="n"/>
      <c r="M289" s="21" t="n"/>
      <c r="P289" s="22" t="n"/>
      <c r="R289" s="22" t="n"/>
      <c r="T289" s="22" t="n"/>
    </row>
    <row r="290" ht="15.75" customHeight="1" s="23">
      <c r="L290" s="20" t="n"/>
      <c r="M290" s="21" t="n"/>
      <c r="P290" s="22" t="n"/>
      <c r="R290" s="22" t="n"/>
      <c r="T290" s="22" t="n"/>
    </row>
    <row r="291" ht="15.75" customHeight="1" s="23">
      <c r="L291" s="20" t="n"/>
      <c r="M291" s="21" t="n"/>
      <c r="P291" s="22" t="n"/>
      <c r="R291" s="22" t="n"/>
      <c r="T291" s="22" t="n"/>
    </row>
    <row r="292" ht="15.75" customHeight="1" s="23">
      <c r="L292" s="20" t="n"/>
      <c r="M292" s="21" t="n"/>
      <c r="P292" s="22" t="n"/>
      <c r="R292" s="22" t="n"/>
      <c r="T292" s="22" t="n"/>
    </row>
    <row r="293" ht="15.75" customHeight="1" s="23">
      <c r="L293" s="20" t="n"/>
      <c r="M293" s="21" t="n"/>
      <c r="P293" s="22" t="n"/>
      <c r="R293" s="22" t="n"/>
      <c r="T293" s="22" t="n"/>
    </row>
    <row r="294" ht="15.75" customHeight="1" s="23">
      <c r="L294" s="20" t="n"/>
      <c r="M294" s="21" t="n"/>
      <c r="P294" s="22" t="n"/>
      <c r="R294" s="22" t="n"/>
      <c r="T294" s="22" t="n"/>
    </row>
    <row r="295" ht="15.75" customHeight="1" s="23">
      <c r="L295" s="20" t="n"/>
      <c r="M295" s="21" t="n"/>
      <c r="P295" s="22" t="n"/>
      <c r="R295" s="22" t="n"/>
      <c r="T295" s="22" t="n"/>
    </row>
    <row r="296" ht="15.75" customHeight="1" s="23">
      <c r="L296" s="20" t="n"/>
      <c r="M296" s="21" t="n"/>
      <c r="P296" s="22" t="n"/>
      <c r="R296" s="22" t="n"/>
      <c r="T296" s="22" t="n"/>
    </row>
    <row r="297" ht="15.75" customHeight="1" s="23">
      <c r="L297" s="20" t="n"/>
      <c r="M297" s="21" t="n"/>
      <c r="P297" s="22" t="n"/>
      <c r="R297" s="22" t="n"/>
      <c r="T297" s="22" t="n"/>
    </row>
    <row r="298" ht="15.75" customHeight="1" s="23">
      <c r="L298" s="20" t="n"/>
      <c r="M298" s="21" t="n"/>
      <c r="P298" s="22" t="n"/>
      <c r="R298" s="22" t="n"/>
      <c r="T298" s="22" t="n"/>
    </row>
    <row r="299" ht="15.75" customHeight="1" s="23">
      <c r="L299" s="20" t="n"/>
      <c r="M299" s="21" t="n"/>
      <c r="P299" s="22" t="n"/>
      <c r="R299" s="22" t="n"/>
      <c r="T299" s="22" t="n"/>
    </row>
    <row r="300" ht="15.75" customHeight="1" s="23">
      <c r="L300" s="20" t="n"/>
      <c r="M300" s="21" t="n"/>
      <c r="P300" s="22" t="n"/>
      <c r="R300" s="22" t="n"/>
      <c r="T300" s="22" t="n"/>
    </row>
    <row r="301" ht="15.75" customHeight="1" s="23">
      <c r="L301" s="20" t="n"/>
      <c r="M301" s="21" t="n"/>
      <c r="P301" s="22" t="n"/>
      <c r="R301" s="22" t="n"/>
      <c r="T301" s="22" t="n"/>
    </row>
    <row r="302" ht="15.75" customHeight="1" s="23">
      <c r="L302" s="20" t="n"/>
      <c r="M302" s="21" t="n"/>
      <c r="P302" s="22" t="n"/>
      <c r="R302" s="22" t="n"/>
      <c r="T302" s="22" t="n"/>
    </row>
    <row r="303" ht="15.75" customHeight="1" s="23">
      <c r="L303" s="20" t="n"/>
      <c r="M303" s="21" t="n"/>
      <c r="P303" s="22" t="n"/>
      <c r="R303" s="22" t="n"/>
      <c r="T303" s="22" t="n"/>
    </row>
    <row r="304" ht="15.75" customHeight="1" s="23">
      <c r="L304" s="20" t="n"/>
      <c r="M304" s="21" t="n"/>
      <c r="P304" s="22" t="n"/>
      <c r="R304" s="22" t="n"/>
      <c r="T304" s="22" t="n"/>
    </row>
    <row r="305" ht="15.75" customHeight="1" s="23">
      <c r="L305" s="20" t="n"/>
      <c r="M305" s="21" t="n"/>
      <c r="P305" s="22" t="n"/>
      <c r="R305" s="22" t="n"/>
      <c r="T305" s="22" t="n"/>
    </row>
    <row r="306" ht="15.75" customHeight="1" s="23">
      <c r="L306" s="20" t="n"/>
      <c r="M306" s="21" t="n"/>
      <c r="P306" s="22" t="n"/>
      <c r="R306" s="22" t="n"/>
      <c r="T306" s="22" t="n"/>
    </row>
    <row r="307" ht="15.75" customHeight="1" s="23">
      <c r="L307" s="20" t="n"/>
      <c r="M307" s="21" t="n"/>
      <c r="P307" s="22" t="n"/>
      <c r="R307" s="22" t="n"/>
      <c r="T307" s="22" t="n"/>
    </row>
    <row r="308" ht="15.75" customHeight="1" s="23">
      <c r="L308" s="20" t="n"/>
      <c r="M308" s="21" t="n"/>
      <c r="P308" s="22" t="n"/>
      <c r="R308" s="22" t="n"/>
      <c r="T308" s="22" t="n"/>
    </row>
    <row r="309" ht="15.75" customHeight="1" s="23">
      <c r="L309" s="20" t="n"/>
      <c r="M309" s="21" t="n"/>
      <c r="P309" s="22" t="n"/>
      <c r="R309" s="22" t="n"/>
      <c r="T309" s="22" t="n"/>
    </row>
    <row r="310" ht="15.75" customHeight="1" s="23">
      <c r="L310" s="20" t="n"/>
      <c r="M310" s="21" t="n"/>
      <c r="P310" s="22" t="n"/>
      <c r="R310" s="22" t="n"/>
      <c r="T310" s="22" t="n"/>
    </row>
    <row r="311" ht="15.75" customHeight="1" s="23">
      <c r="L311" s="20" t="n"/>
      <c r="M311" s="21" t="n"/>
      <c r="P311" s="22" t="n"/>
      <c r="R311" s="22" t="n"/>
      <c r="T311" s="22" t="n"/>
    </row>
    <row r="312" ht="15.75" customHeight="1" s="23">
      <c r="L312" s="20" t="n"/>
      <c r="M312" s="21" t="n"/>
      <c r="P312" s="22" t="n"/>
      <c r="R312" s="22" t="n"/>
      <c r="T312" s="22" t="n"/>
    </row>
    <row r="313" ht="15.75" customHeight="1" s="23">
      <c r="L313" s="20" t="n"/>
      <c r="M313" s="21" t="n"/>
      <c r="P313" s="22" t="n"/>
      <c r="R313" s="22" t="n"/>
      <c r="T313" s="22" t="n"/>
    </row>
    <row r="314" ht="15.75" customHeight="1" s="23">
      <c r="L314" s="20" t="n"/>
      <c r="M314" s="21" t="n"/>
      <c r="P314" s="22" t="n"/>
      <c r="R314" s="22" t="n"/>
      <c r="T314" s="22" t="n"/>
    </row>
    <row r="315" ht="15.75" customHeight="1" s="23">
      <c r="L315" s="20" t="n"/>
      <c r="M315" s="21" t="n"/>
      <c r="P315" s="22" t="n"/>
      <c r="R315" s="22" t="n"/>
      <c r="T315" s="22" t="n"/>
    </row>
    <row r="316" ht="15.75" customHeight="1" s="23">
      <c r="L316" s="20" t="n"/>
      <c r="M316" s="21" t="n"/>
      <c r="P316" s="22" t="n"/>
      <c r="R316" s="22" t="n"/>
      <c r="T316" s="22" t="n"/>
    </row>
    <row r="317" ht="15.75" customHeight="1" s="23">
      <c r="L317" s="20" t="n"/>
      <c r="M317" s="21" t="n"/>
      <c r="P317" s="22" t="n"/>
      <c r="R317" s="22" t="n"/>
      <c r="T317" s="22" t="n"/>
    </row>
    <row r="318" ht="15.75" customHeight="1" s="23">
      <c r="L318" s="20" t="n"/>
      <c r="M318" s="21" t="n"/>
      <c r="P318" s="22" t="n"/>
      <c r="R318" s="22" t="n"/>
      <c r="T318" s="22" t="n"/>
    </row>
    <row r="319" ht="15.75" customHeight="1" s="23">
      <c r="L319" s="20" t="n"/>
      <c r="M319" s="21" t="n"/>
      <c r="P319" s="22" t="n"/>
      <c r="R319" s="22" t="n"/>
      <c r="T319" s="22" t="n"/>
    </row>
    <row r="320" ht="15.75" customHeight="1" s="23">
      <c r="L320" s="20" t="n"/>
      <c r="M320" s="21" t="n"/>
      <c r="P320" s="22" t="n"/>
      <c r="R320" s="22" t="n"/>
      <c r="T320" s="22" t="n"/>
    </row>
    <row r="321" ht="15.75" customHeight="1" s="23">
      <c r="L321" s="20" t="n"/>
      <c r="M321" s="21" t="n"/>
      <c r="P321" s="22" t="n"/>
      <c r="R321" s="22" t="n"/>
      <c r="T321" s="22" t="n"/>
    </row>
    <row r="322" ht="15.75" customHeight="1" s="23">
      <c r="L322" s="20" t="n"/>
      <c r="M322" s="21" t="n"/>
      <c r="P322" s="22" t="n"/>
      <c r="R322" s="22" t="n"/>
      <c r="T322" s="22" t="n"/>
    </row>
    <row r="323" ht="15.75" customHeight="1" s="23">
      <c r="L323" s="20" t="n"/>
      <c r="M323" s="21" t="n"/>
      <c r="P323" s="22" t="n"/>
      <c r="R323" s="22" t="n"/>
      <c r="T323" s="22" t="n"/>
    </row>
    <row r="324" ht="15.75" customHeight="1" s="23">
      <c r="L324" s="20" t="n"/>
      <c r="M324" s="21" t="n"/>
      <c r="P324" s="22" t="n"/>
      <c r="R324" s="22" t="n"/>
      <c r="T324" s="22" t="n"/>
    </row>
    <row r="325" ht="15.75" customHeight="1" s="23">
      <c r="L325" s="20" t="n"/>
      <c r="M325" s="21" t="n"/>
      <c r="P325" s="22" t="n"/>
      <c r="R325" s="22" t="n"/>
      <c r="T325" s="22" t="n"/>
    </row>
    <row r="326" ht="15.75" customHeight="1" s="23">
      <c r="L326" s="20" t="n"/>
      <c r="M326" s="21" t="n"/>
      <c r="P326" s="22" t="n"/>
      <c r="R326" s="22" t="n"/>
      <c r="T326" s="22" t="n"/>
    </row>
    <row r="327" ht="15.75" customHeight="1" s="23">
      <c r="L327" s="20" t="n"/>
      <c r="M327" s="21" t="n"/>
      <c r="P327" s="22" t="n"/>
      <c r="R327" s="22" t="n"/>
      <c r="T327" s="22" t="n"/>
    </row>
    <row r="328" ht="15.75" customHeight="1" s="23">
      <c r="L328" s="20" t="n"/>
      <c r="M328" s="21" t="n"/>
      <c r="P328" s="22" t="n"/>
      <c r="R328" s="22" t="n"/>
      <c r="T328" s="22" t="n"/>
    </row>
    <row r="329" ht="15.75" customHeight="1" s="23">
      <c r="L329" s="20" t="n"/>
      <c r="M329" s="21" t="n"/>
      <c r="P329" s="22" t="n"/>
      <c r="R329" s="22" t="n"/>
      <c r="T329" s="22" t="n"/>
    </row>
    <row r="330" ht="15.75" customHeight="1" s="23">
      <c r="L330" s="20" t="n"/>
      <c r="M330" s="21" t="n"/>
      <c r="P330" s="22" t="n"/>
      <c r="R330" s="22" t="n"/>
      <c r="T330" s="22" t="n"/>
    </row>
    <row r="331" ht="15.75" customHeight="1" s="23">
      <c r="L331" s="20" t="n"/>
      <c r="M331" s="21" t="n"/>
      <c r="P331" s="22" t="n"/>
      <c r="R331" s="22" t="n"/>
      <c r="T331" s="22" t="n"/>
    </row>
    <row r="332" ht="15.75" customHeight="1" s="23">
      <c r="L332" s="20" t="n"/>
      <c r="M332" s="21" t="n"/>
      <c r="P332" s="22" t="n"/>
      <c r="R332" s="22" t="n"/>
      <c r="T332" s="22" t="n"/>
    </row>
    <row r="333" ht="15.75" customHeight="1" s="23">
      <c r="L333" s="20" t="n"/>
      <c r="M333" s="21" t="n"/>
      <c r="P333" s="22" t="n"/>
      <c r="R333" s="22" t="n"/>
      <c r="T333" s="22" t="n"/>
    </row>
    <row r="334" ht="15.75" customHeight="1" s="23">
      <c r="L334" s="20" t="n"/>
      <c r="M334" s="21" t="n"/>
      <c r="P334" s="22" t="n"/>
      <c r="R334" s="22" t="n"/>
      <c r="T334" s="22" t="n"/>
    </row>
    <row r="335" ht="15.75" customHeight="1" s="23">
      <c r="L335" s="20" t="n"/>
      <c r="M335" s="21" t="n"/>
      <c r="P335" s="22" t="n"/>
      <c r="R335" s="22" t="n"/>
      <c r="T335" s="22" t="n"/>
    </row>
    <row r="336" ht="15.75" customHeight="1" s="23">
      <c r="L336" s="20" t="n"/>
      <c r="M336" s="21" t="n"/>
      <c r="P336" s="22" t="n"/>
      <c r="R336" s="22" t="n"/>
      <c r="T336" s="22" t="n"/>
    </row>
    <row r="337" ht="15.75" customHeight="1" s="23">
      <c r="L337" s="20" t="n"/>
      <c r="M337" s="21" t="n"/>
      <c r="P337" s="22" t="n"/>
      <c r="R337" s="22" t="n"/>
      <c r="T337" s="22" t="n"/>
    </row>
    <row r="338" ht="15.75" customHeight="1" s="23">
      <c r="L338" s="20" t="n"/>
      <c r="M338" s="21" t="n"/>
      <c r="P338" s="22" t="n"/>
      <c r="R338" s="22" t="n"/>
      <c r="T338" s="22" t="n"/>
    </row>
    <row r="339" ht="15.75" customHeight="1" s="23">
      <c r="L339" s="20" t="n"/>
      <c r="M339" s="21" t="n"/>
      <c r="P339" s="22" t="n"/>
      <c r="R339" s="22" t="n"/>
      <c r="T339" s="22" t="n"/>
    </row>
    <row r="340" ht="15.75" customHeight="1" s="23">
      <c r="L340" s="20" t="n"/>
      <c r="M340" s="21" t="n"/>
      <c r="P340" s="22" t="n"/>
      <c r="R340" s="22" t="n"/>
      <c r="T340" s="22" t="n"/>
    </row>
    <row r="341" ht="15.75" customHeight="1" s="23">
      <c r="L341" s="20" t="n"/>
      <c r="M341" s="21" t="n"/>
      <c r="P341" s="22" t="n"/>
      <c r="R341" s="22" t="n"/>
      <c r="T341" s="22" t="n"/>
    </row>
    <row r="342" ht="15.75" customHeight="1" s="23">
      <c r="L342" s="20" t="n"/>
      <c r="M342" s="21" t="n"/>
      <c r="P342" s="22" t="n"/>
      <c r="R342" s="22" t="n"/>
      <c r="T342" s="22" t="n"/>
    </row>
    <row r="343" ht="15.75" customHeight="1" s="23">
      <c r="L343" s="20" t="n"/>
      <c r="M343" s="21" t="n"/>
      <c r="P343" s="22" t="n"/>
      <c r="R343" s="22" t="n"/>
      <c r="T343" s="22" t="n"/>
    </row>
    <row r="344" ht="15.75" customHeight="1" s="23">
      <c r="L344" s="20" t="n"/>
      <c r="M344" s="21" t="n"/>
      <c r="P344" s="22" t="n"/>
      <c r="R344" s="22" t="n"/>
      <c r="T344" s="22" t="n"/>
    </row>
    <row r="345" ht="15.75" customHeight="1" s="23">
      <c r="L345" s="20" t="n"/>
      <c r="M345" s="21" t="n"/>
      <c r="P345" s="22" t="n"/>
      <c r="R345" s="22" t="n"/>
      <c r="T345" s="22" t="n"/>
    </row>
    <row r="346" ht="15.75" customHeight="1" s="23">
      <c r="L346" s="20" t="n"/>
      <c r="M346" s="21" t="n"/>
      <c r="P346" s="22" t="n"/>
      <c r="R346" s="22" t="n"/>
      <c r="T346" s="22" t="n"/>
    </row>
    <row r="347" ht="15.75" customHeight="1" s="23">
      <c r="L347" s="20" t="n"/>
      <c r="M347" s="21" t="n"/>
      <c r="P347" s="22" t="n"/>
      <c r="R347" s="22" t="n"/>
      <c r="T347" s="22" t="n"/>
    </row>
    <row r="348" ht="15.75" customHeight="1" s="23">
      <c r="L348" s="20" t="n"/>
      <c r="M348" s="21" t="n"/>
      <c r="P348" s="22" t="n"/>
      <c r="R348" s="22" t="n"/>
      <c r="T348" s="22" t="n"/>
    </row>
    <row r="349" ht="15.75" customHeight="1" s="23">
      <c r="L349" s="20" t="n"/>
      <c r="M349" s="21" t="n"/>
      <c r="P349" s="22" t="n"/>
      <c r="R349" s="22" t="n"/>
      <c r="T349" s="22" t="n"/>
    </row>
    <row r="350" ht="15.75" customHeight="1" s="23">
      <c r="L350" s="20" t="n"/>
      <c r="M350" s="21" t="n"/>
      <c r="P350" s="22" t="n"/>
      <c r="R350" s="22" t="n"/>
      <c r="T350" s="22" t="n"/>
    </row>
    <row r="351" ht="15.75" customHeight="1" s="23">
      <c r="L351" s="20" t="n"/>
      <c r="M351" s="21" t="n"/>
      <c r="P351" s="22" t="n"/>
      <c r="R351" s="22" t="n"/>
      <c r="T351" s="22" t="n"/>
    </row>
    <row r="352" ht="15.75" customHeight="1" s="23">
      <c r="L352" s="20" t="n"/>
      <c r="M352" s="21" t="n"/>
      <c r="P352" s="22" t="n"/>
      <c r="R352" s="22" t="n"/>
      <c r="T352" s="22" t="n"/>
    </row>
    <row r="353" ht="15.75" customHeight="1" s="23">
      <c r="L353" s="20" t="n"/>
      <c r="M353" s="21" t="n"/>
      <c r="P353" s="22" t="n"/>
      <c r="R353" s="22" t="n"/>
      <c r="T353" s="22" t="n"/>
    </row>
    <row r="354" ht="15.75" customHeight="1" s="23">
      <c r="L354" s="20" t="n"/>
      <c r="M354" s="21" t="n"/>
      <c r="P354" s="22" t="n"/>
      <c r="R354" s="22" t="n"/>
      <c r="T354" s="22" t="n"/>
    </row>
    <row r="355" ht="15.75" customHeight="1" s="23">
      <c r="L355" s="20" t="n"/>
      <c r="M355" s="21" t="n"/>
      <c r="P355" s="22" t="n"/>
      <c r="R355" s="22" t="n"/>
      <c r="T355" s="22" t="n"/>
    </row>
    <row r="356" ht="15.75" customHeight="1" s="23">
      <c r="L356" s="20" t="n"/>
      <c r="M356" s="21" t="n"/>
      <c r="P356" s="22" t="n"/>
      <c r="R356" s="22" t="n"/>
      <c r="T356" s="22" t="n"/>
    </row>
    <row r="357" ht="15.75" customHeight="1" s="23">
      <c r="L357" s="20" t="n"/>
      <c r="M357" s="21" t="n"/>
      <c r="P357" s="22" t="n"/>
      <c r="R357" s="22" t="n"/>
      <c r="T357" s="22" t="n"/>
    </row>
    <row r="358" ht="15.75" customHeight="1" s="23">
      <c r="L358" s="20" t="n"/>
      <c r="M358" s="21" t="n"/>
      <c r="P358" s="22" t="n"/>
      <c r="R358" s="22" t="n"/>
      <c r="T358" s="22" t="n"/>
    </row>
    <row r="359" ht="15.75" customHeight="1" s="23">
      <c r="L359" s="20" t="n"/>
      <c r="M359" s="21" t="n"/>
      <c r="P359" s="22" t="n"/>
      <c r="R359" s="22" t="n"/>
      <c r="T359" s="22" t="n"/>
    </row>
    <row r="360" ht="15.75" customHeight="1" s="23">
      <c r="L360" s="20" t="n"/>
      <c r="M360" s="21" t="n"/>
      <c r="P360" s="22" t="n"/>
      <c r="R360" s="22" t="n"/>
      <c r="T360" s="22" t="n"/>
    </row>
    <row r="361" ht="15.75" customHeight="1" s="23">
      <c r="L361" s="20" t="n"/>
      <c r="M361" s="21" t="n"/>
      <c r="P361" s="22" t="n"/>
      <c r="R361" s="22" t="n"/>
      <c r="T361" s="22" t="n"/>
    </row>
    <row r="362" ht="15.75" customHeight="1" s="23">
      <c r="L362" s="20" t="n"/>
      <c r="M362" s="21" t="n"/>
      <c r="P362" s="22" t="n"/>
      <c r="R362" s="22" t="n"/>
      <c r="T362" s="22" t="n"/>
    </row>
    <row r="363" ht="15.75" customHeight="1" s="23">
      <c r="L363" s="20" t="n"/>
      <c r="M363" s="21" t="n"/>
      <c r="P363" s="22" t="n"/>
      <c r="R363" s="22" t="n"/>
      <c r="T363" s="22" t="n"/>
    </row>
    <row r="364" ht="15.75" customHeight="1" s="23">
      <c r="L364" s="20" t="n"/>
      <c r="M364" s="21" t="n"/>
      <c r="P364" s="22" t="n"/>
      <c r="R364" s="22" t="n"/>
      <c r="T364" s="22" t="n"/>
    </row>
    <row r="365" ht="15.75" customHeight="1" s="23">
      <c r="L365" s="20" t="n"/>
      <c r="M365" s="21" t="n"/>
      <c r="P365" s="22" t="n"/>
      <c r="R365" s="22" t="n"/>
      <c r="T365" s="22" t="n"/>
    </row>
    <row r="366" ht="15.75" customHeight="1" s="23">
      <c r="L366" s="20" t="n"/>
      <c r="M366" s="21" t="n"/>
      <c r="P366" s="22" t="n"/>
      <c r="R366" s="22" t="n"/>
      <c r="T366" s="22" t="n"/>
    </row>
    <row r="367" ht="15.75" customHeight="1" s="23">
      <c r="L367" s="20" t="n"/>
      <c r="M367" s="21" t="n"/>
      <c r="P367" s="22" t="n"/>
      <c r="R367" s="22" t="n"/>
      <c r="T367" s="22" t="n"/>
    </row>
    <row r="368" ht="15.75" customHeight="1" s="23">
      <c r="L368" s="20" t="n"/>
      <c r="M368" s="21" t="n"/>
      <c r="P368" s="22" t="n"/>
      <c r="R368" s="22" t="n"/>
      <c r="T368" s="22" t="n"/>
    </row>
    <row r="369" ht="15.75" customHeight="1" s="23">
      <c r="L369" s="20" t="n"/>
      <c r="M369" s="21" t="n"/>
      <c r="P369" s="22" t="n"/>
      <c r="R369" s="22" t="n"/>
      <c r="T369" s="22" t="n"/>
    </row>
    <row r="370" ht="15.75" customHeight="1" s="23">
      <c r="L370" s="20" t="n"/>
      <c r="M370" s="21" t="n"/>
      <c r="P370" s="22" t="n"/>
      <c r="R370" s="22" t="n"/>
      <c r="T370" s="22" t="n"/>
    </row>
    <row r="371" ht="15.75" customHeight="1" s="23">
      <c r="L371" s="20" t="n"/>
      <c r="M371" s="21" t="n"/>
      <c r="P371" s="22" t="n"/>
      <c r="R371" s="22" t="n"/>
      <c r="T371" s="22" t="n"/>
    </row>
    <row r="372" ht="15.75" customHeight="1" s="23">
      <c r="L372" s="20" t="n"/>
      <c r="M372" s="21" t="n"/>
      <c r="P372" s="22" t="n"/>
      <c r="R372" s="22" t="n"/>
      <c r="T372" s="22" t="n"/>
    </row>
    <row r="373" ht="15.75" customHeight="1" s="23">
      <c r="L373" s="20" t="n"/>
      <c r="M373" s="21" t="n"/>
      <c r="P373" s="22" t="n"/>
      <c r="R373" s="22" t="n"/>
      <c r="T373" s="22" t="n"/>
    </row>
    <row r="374" ht="15.75" customHeight="1" s="23">
      <c r="L374" s="20" t="n"/>
      <c r="M374" s="21" t="n"/>
      <c r="P374" s="22" t="n"/>
      <c r="R374" s="22" t="n"/>
      <c r="T374" s="22" t="n"/>
    </row>
    <row r="375" ht="15.75" customHeight="1" s="23">
      <c r="L375" s="20" t="n"/>
      <c r="M375" s="21" t="n"/>
      <c r="P375" s="22" t="n"/>
      <c r="R375" s="22" t="n"/>
      <c r="T375" s="22" t="n"/>
    </row>
    <row r="376" ht="15.75" customHeight="1" s="23">
      <c r="L376" s="20" t="n"/>
      <c r="M376" s="21" t="n"/>
      <c r="P376" s="22" t="n"/>
      <c r="R376" s="22" t="n"/>
      <c r="T376" s="22" t="n"/>
    </row>
    <row r="377" ht="15.75" customHeight="1" s="23">
      <c r="L377" s="20" t="n"/>
      <c r="M377" s="21" t="n"/>
      <c r="P377" s="22" t="n"/>
      <c r="R377" s="22" t="n"/>
      <c r="T377" s="22" t="n"/>
    </row>
    <row r="378" ht="15.75" customHeight="1" s="23">
      <c r="L378" s="20" t="n"/>
      <c r="M378" s="21" t="n"/>
      <c r="P378" s="22" t="n"/>
      <c r="R378" s="22" t="n"/>
      <c r="T378" s="22" t="n"/>
    </row>
    <row r="379" ht="15.75" customHeight="1" s="23">
      <c r="L379" s="20" t="n"/>
      <c r="M379" s="21" t="n"/>
      <c r="P379" s="22" t="n"/>
      <c r="R379" s="22" t="n"/>
      <c r="T379" s="22" t="n"/>
    </row>
    <row r="380" ht="15.75" customHeight="1" s="23">
      <c r="L380" s="20" t="n"/>
      <c r="M380" s="21" t="n"/>
      <c r="P380" s="22" t="n"/>
      <c r="R380" s="22" t="n"/>
      <c r="T380" s="22" t="n"/>
    </row>
    <row r="381" ht="15.75" customHeight="1" s="23">
      <c r="L381" s="20" t="n"/>
      <c r="M381" s="21" t="n"/>
      <c r="P381" s="22" t="n"/>
      <c r="R381" s="22" t="n"/>
      <c r="T381" s="22" t="n"/>
    </row>
    <row r="382" ht="15.75" customHeight="1" s="23">
      <c r="L382" s="20" t="n"/>
      <c r="M382" s="21" t="n"/>
      <c r="P382" s="22" t="n"/>
      <c r="R382" s="22" t="n"/>
      <c r="T382" s="22" t="n"/>
    </row>
    <row r="383" ht="15.75" customHeight="1" s="23">
      <c r="L383" s="20" t="n"/>
      <c r="M383" s="21" t="n"/>
      <c r="P383" s="22" t="n"/>
      <c r="R383" s="22" t="n"/>
      <c r="T383" s="22" t="n"/>
    </row>
    <row r="384" ht="15.75" customHeight="1" s="23">
      <c r="L384" s="20" t="n"/>
      <c r="M384" s="21" t="n"/>
      <c r="P384" s="22" t="n"/>
      <c r="R384" s="22" t="n"/>
      <c r="T384" s="22" t="n"/>
    </row>
    <row r="385" ht="15.75" customHeight="1" s="23">
      <c r="L385" s="20" t="n"/>
      <c r="M385" s="21" t="n"/>
      <c r="P385" s="22" t="n"/>
      <c r="R385" s="22" t="n"/>
      <c r="T385" s="22" t="n"/>
    </row>
    <row r="386" ht="15.75" customHeight="1" s="23">
      <c r="L386" s="20" t="n"/>
      <c r="M386" s="21" t="n"/>
      <c r="P386" s="22" t="n"/>
      <c r="R386" s="22" t="n"/>
      <c r="T386" s="22" t="n"/>
    </row>
    <row r="387" ht="15.75" customHeight="1" s="23">
      <c r="L387" s="20" t="n"/>
      <c r="M387" s="21" t="n"/>
      <c r="P387" s="22" t="n"/>
      <c r="R387" s="22" t="n"/>
      <c r="T387" s="22" t="n"/>
    </row>
    <row r="388" ht="15.75" customHeight="1" s="23">
      <c r="L388" s="20" t="n"/>
      <c r="M388" s="21" t="n"/>
      <c r="P388" s="22" t="n"/>
      <c r="R388" s="22" t="n"/>
      <c r="T388" s="22" t="n"/>
    </row>
    <row r="389" ht="15.75" customHeight="1" s="23">
      <c r="L389" s="20" t="n"/>
      <c r="M389" s="21" t="n"/>
      <c r="P389" s="22" t="n"/>
      <c r="R389" s="22" t="n"/>
      <c r="T389" s="22" t="n"/>
    </row>
    <row r="390" ht="15.75" customHeight="1" s="23">
      <c r="L390" s="20" t="n"/>
      <c r="M390" s="21" t="n"/>
      <c r="P390" s="22" t="n"/>
      <c r="R390" s="22" t="n"/>
      <c r="T390" s="22" t="n"/>
    </row>
    <row r="391" ht="15.75" customHeight="1" s="23">
      <c r="L391" s="20" t="n"/>
      <c r="M391" s="21" t="n"/>
      <c r="P391" s="22" t="n"/>
      <c r="R391" s="22" t="n"/>
      <c r="T391" s="22" t="n"/>
    </row>
    <row r="392" ht="15.75" customHeight="1" s="23">
      <c r="L392" s="20" t="n"/>
      <c r="M392" s="21" t="n"/>
      <c r="P392" s="22" t="n"/>
      <c r="R392" s="22" t="n"/>
      <c r="T392" s="22" t="n"/>
    </row>
    <row r="393" ht="15.75" customHeight="1" s="23">
      <c r="L393" s="20" t="n"/>
      <c r="M393" s="21" t="n"/>
      <c r="P393" s="22" t="n"/>
      <c r="R393" s="22" t="n"/>
      <c r="T393" s="22" t="n"/>
    </row>
    <row r="394" ht="15.75" customHeight="1" s="23">
      <c r="L394" s="20" t="n"/>
      <c r="M394" s="21" t="n"/>
      <c r="P394" s="22" t="n"/>
      <c r="R394" s="22" t="n"/>
      <c r="T394" s="22" t="n"/>
    </row>
    <row r="395" ht="15.75" customHeight="1" s="23">
      <c r="L395" s="20" t="n"/>
      <c r="M395" s="21" t="n"/>
      <c r="P395" s="22" t="n"/>
      <c r="R395" s="22" t="n"/>
      <c r="T395" s="22" t="n"/>
    </row>
    <row r="396" ht="15.75" customHeight="1" s="23">
      <c r="L396" s="20" t="n"/>
      <c r="M396" s="21" t="n"/>
      <c r="P396" s="22" t="n"/>
      <c r="R396" s="22" t="n"/>
      <c r="T396" s="22" t="n"/>
    </row>
    <row r="397" ht="15.75" customHeight="1" s="23">
      <c r="L397" s="20" t="n"/>
      <c r="M397" s="21" t="n"/>
      <c r="P397" s="22" t="n"/>
      <c r="R397" s="22" t="n"/>
      <c r="T397" s="22" t="n"/>
    </row>
    <row r="398" ht="15.75" customHeight="1" s="23">
      <c r="L398" s="20" t="n"/>
      <c r="M398" s="21" t="n"/>
      <c r="P398" s="22" t="n"/>
      <c r="R398" s="22" t="n"/>
      <c r="T398" s="22" t="n"/>
    </row>
    <row r="399" ht="15.75" customHeight="1" s="23">
      <c r="L399" s="20" t="n"/>
      <c r="M399" s="21" t="n"/>
      <c r="P399" s="22" t="n"/>
      <c r="R399" s="22" t="n"/>
      <c r="T399" s="22" t="n"/>
    </row>
    <row r="400" ht="15.75" customHeight="1" s="23">
      <c r="L400" s="20" t="n"/>
      <c r="M400" s="21" t="n"/>
      <c r="P400" s="22" t="n"/>
      <c r="R400" s="22" t="n"/>
      <c r="T400" s="22" t="n"/>
    </row>
    <row r="401" ht="15.75" customHeight="1" s="23">
      <c r="L401" s="20" t="n"/>
      <c r="M401" s="21" t="n"/>
      <c r="P401" s="22" t="n"/>
      <c r="R401" s="22" t="n"/>
      <c r="T401" s="22" t="n"/>
    </row>
    <row r="402" ht="15.75" customHeight="1" s="23">
      <c r="L402" s="20" t="n"/>
      <c r="M402" s="21" t="n"/>
      <c r="P402" s="22" t="n"/>
      <c r="R402" s="22" t="n"/>
      <c r="T402" s="22" t="n"/>
    </row>
    <row r="403" ht="15.75" customHeight="1" s="23">
      <c r="L403" s="20" t="n"/>
      <c r="M403" s="21" t="n"/>
      <c r="P403" s="22" t="n"/>
      <c r="R403" s="22" t="n"/>
      <c r="T403" s="22" t="n"/>
    </row>
    <row r="404" ht="15.75" customHeight="1" s="23">
      <c r="L404" s="20" t="n"/>
      <c r="M404" s="21" t="n"/>
      <c r="P404" s="22" t="n"/>
      <c r="R404" s="22" t="n"/>
      <c r="T404" s="22" t="n"/>
    </row>
    <row r="405" ht="15.75" customHeight="1" s="23">
      <c r="L405" s="20" t="n"/>
      <c r="M405" s="21" t="n"/>
      <c r="P405" s="22" t="n"/>
      <c r="R405" s="22" t="n"/>
      <c r="T405" s="22" t="n"/>
    </row>
    <row r="406" ht="15.75" customHeight="1" s="23">
      <c r="L406" s="20" t="n"/>
      <c r="M406" s="21" t="n"/>
      <c r="P406" s="22" t="n"/>
      <c r="R406" s="22" t="n"/>
      <c r="T406" s="22" t="n"/>
    </row>
    <row r="407" ht="15.75" customHeight="1" s="23">
      <c r="L407" s="20" t="n"/>
      <c r="M407" s="21" t="n"/>
      <c r="P407" s="22" t="n"/>
      <c r="R407" s="22" t="n"/>
      <c r="T407" s="22" t="n"/>
    </row>
    <row r="408" ht="15.75" customHeight="1" s="23">
      <c r="L408" s="20" t="n"/>
      <c r="M408" s="21" t="n"/>
      <c r="P408" s="22" t="n"/>
      <c r="R408" s="22" t="n"/>
      <c r="T408" s="22" t="n"/>
    </row>
    <row r="409" ht="15.75" customHeight="1" s="23">
      <c r="L409" s="20" t="n"/>
      <c r="M409" s="21" t="n"/>
      <c r="P409" s="22" t="n"/>
      <c r="R409" s="22" t="n"/>
      <c r="T409" s="22" t="n"/>
    </row>
    <row r="410" ht="15.75" customHeight="1" s="23">
      <c r="L410" s="20" t="n"/>
      <c r="M410" s="21" t="n"/>
      <c r="P410" s="22" t="n"/>
      <c r="R410" s="22" t="n"/>
      <c r="T410" s="22" t="n"/>
    </row>
    <row r="411" ht="15.75" customHeight="1" s="23">
      <c r="L411" s="20" t="n"/>
      <c r="M411" s="21" t="n"/>
      <c r="P411" s="22" t="n"/>
      <c r="R411" s="22" t="n"/>
      <c r="T411" s="22" t="n"/>
    </row>
    <row r="412" ht="15.75" customHeight="1" s="23">
      <c r="L412" s="20" t="n"/>
      <c r="M412" s="21" t="n"/>
      <c r="P412" s="22" t="n"/>
      <c r="R412" s="22" t="n"/>
      <c r="T412" s="22" t="n"/>
    </row>
    <row r="413" ht="15.75" customHeight="1" s="23">
      <c r="L413" s="20" t="n"/>
      <c r="M413" s="21" t="n"/>
      <c r="P413" s="22" t="n"/>
      <c r="R413" s="22" t="n"/>
      <c r="T413" s="22" t="n"/>
    </row>
    <row r="414" ht="15.75" customHeight="1" s="23">
      <c r="L414" s="20" t="n"/>
      <c r="M414" s="21" t="n"/>
      <c r="P414" s="22" t="n"/>
      <c r="R414" s="22" t="n"/>
      <c r="T414" s="22" t="n"/>
    </row>
    <row r="415" ht="15.75" customHeight="1" s="23">
      <c r="L415" s="20" t="n"/>
      <c r="M415" s="21" t="n"/>
      <c r="P415" s="22" t="n"/>
      <c r="R415" s="22" t="n"/>
      <c r="T415" s="22" t="n"/>
    </row>
    <row r="416" ht="15.75" customHeight="1" s="23">
      <c r="L416" s="20" t="n"/>
      <c r="M416" s="21" t="n"/>
      <c r="P416" s="22" t="n"/>
      <c r="R416" s="22" t="n"/>
      <c r="T416" s="22" t="n"/>
    </row>
    <row r="417" ht="15.75" customHeight="1" s="23">
      <c r="L417" s="20" t="n"/>
      <c r="M417" s="21" t="n"/>
      <c r="P417" s="22" t="n"/>
      <c r="R417" s="22" t="n"/>
      <c r="T417" s="22" t="n"/>
    </row>
    <row r="418" ht="15.75" customHeight="1" s="23">
      <c r="L418" s="20" t="n"/>
      <c r="M418" s="21" t="n"/>
      <c r="P418" s="22" t="n"/>
      <c r="R418" s="22" t="n"/>
      <c r="T418" s="22" t="n"/>
    </row>
    <row r="419" ht="15.75" customHeight="1" s="23">
      <c r="L419" s="20" t="n"/>
      <c r="M419" s="21" t="n"/>
      <c r="P419" s="22" t="n"/>
      <c r="R419" s="22" t="n"/>
      <c r="T419" s="22" t="n"/>
    </row>
    <row r="420" ht="15.75" customHeight="1" s="23">
      <c r="L420" s="20" t="n"/>
      <c r="M420" s="21" t="n"/>
      <c r="P420" s="22" t="n"/>
      <c r="R420" s="22" t="n"/>
      <c r="T420" s="22" t="n"/>
    </row>
    <row r="421" ht="15.75" customHeight="1" s="23">
      <c r="L421" s="20" t="n"/>
      <c r="M421" s="21" t="n"/>
      <c r="P421" s="22" t="n"/>
      <c r="R421" s="22" t="n"/>
      <c r="T421" s="22" t="n"/>
    </row>
    <row r="422" ht="15.75" customHeight="1" s="23">
      <c r="L422" s="20" t="n"/>
      <c r="M422" s="21" t="n"/>
      <c r="P422" s="22" t="n"/>
      <c r="R422" s="22" t="n"/>
      <c r="T422" s="22" t="n"/>
    </row>
    <row r="423" ht="15.75" customHeight="1" s="23">
      <c r="L423" s="20" t="n"/>
      <c r="M423" s="21" t="n"/>
      <c r="P423" s="22" t="n"/>
      <c r="R423" s="22" t="n"/>
      <c r="T423" s="22" t="n"/>
    </row>
    <row r="424" ht="15.75" customHeight="1" s="23">
      <c r="L424" s="20" t="n"/>
      <c r="M424" s="21" t="n"/>
      <c r="P424" s="22" t="n"/>
      <c r="R424" s="22" t="n"/>
      <c r="T424" s="22" t="n"/>
    </row>
    <row r="425" ht="15.75" customHeight="1" s="23">
      <c r="L425" s="20" t="n"/>
      <c r="M425" s="21" t="n"/>
      <c r="P425" s="22" t="n"/>
      <c r="R425" s="22" t="n"/>
      <c r="T425" s="22" t="n"/>
    </row>
    <row r="426" ht="15.75" customHeight="1" s="23">
      <c r="L426" s="20" t="n"/>
      <c r="M426" s="21" t="n"/>
      <c r="P426" s="22" t="n"/>
      <c r="R426" s="22" t="n"/>
      <c r="T426" s="22" t="n"/>
    </row>
    <row r="427" ht="15.75" customHeight="1" s="23">
      <c r="L427" s="20" t="n"/>
      <c r="M427" s="21" t="n"/>
      <c r="P427" s="22" t="n"/>
      <c r="R427" s="22" t="n"/>
      <c r="T427" s="22" t="n"/>
    </row>
    <row r="428" ht="15.75" customHeight="1" s="23">
      <c r="L428" s="20" t="n"/>
      <c r="M428" s="21" t="n"/>
      <c r="P428" s="22" t="n"/>
      <c r="R428" s="22" t="n"/>
      <c r="T428" s="22" t="n"/>
    </row>
    <row r="429" ht="15.75" customHeight="1" s="23">
      <c r="L429" s="20" t="n"/>
      <c r="M429" s="21" t="n"/>
      <c r="P429" s="22" t="n"/>
      <c r="R429" s="22" t="n"/>
      <c r="T429" s="22" t="n"/>
    </row>
    <row r="430" ht="15.75" customHeight="1" s="23">
      <c r="L430" s="20" t="n"/>
      <c r="M430" s="21" t="n"/>
      <c r="P430" s="22" t="n"/>
      <c r="R430" s="22" t="n"/>
      <c r="T430" s="22" t="n"/>
    </row>
    <row r="431" ht="15.75" customHeight="1" s="23">
      <c r="L431" s="20" t="n"/>
      <c r="M431" s="21" t="n"/>
      <c r="P431" s="22" t="n"/>
      <c r="R431" s="22" t="n"/>
      <c r="T431" s="22" t="n"/>
    </row>
    <row r="432" ht="15.75" customHeight="1" s="23">
      <c r="L432" s="20" t="n"/>
      <c r="M432" s="21" t="n"/>
      <c r="P432" s="22" t="n"/>
      <c r="R432" s="22" t="n"/>
      <c r="T432" s="22" t="n"/>
    </row>
    <row r="433" ht="15.75" customHeight="1" s="23">
      <c r="L433" s="20" t="n"/>
      <c r="M433" s="21" t="n"/>
      <c r="P433" s="22" t="n"/>
      <c r="R433" s="22" t="n"/>
      <c r="T433" s="22" t="n"/>
    </row>
    <row r="434" ht="15.75" customHeight="1" s="23">
      <c r="L434" s="20" t="n"/>
      <c r="M434" s="21" t="n"/>
      <c r="P434" s="22" t="n"/>
      <c r="R434" s="22" t="n"/>
      <c r="T434" s="22" t="n"/>
    </row>
    <row r="435" ht="15.75" customHeight="1" s="23">
      <c r="L435" s="20" t="n"/>
      <c r="M435" s="21" t="n"/>
      <c r="P435" s="22" t="n"/>
      <c r="R435" s="22" t="n"/>
      <c r="T435" s="22" t="n"/>
    </row>
    <row r="436" ht="15.75" customHeight="1" s="23">
      <c r="L436" s="20" t="n"/>
      <c r="M436" s="21" t="n"/>
      <c r="P436" s="22" t="n"/>
      <c r="R436" s="22" t="n"/>
      <c r="T436" s="22" t="n"/>
    </row>
    <row r="437" ht="15.75" customHeight="1" s="23">
      <c r="L437" s="20" t="n"/>
      <c r="M437" s="21" t="n"/>
      <c r="P437" s="22" t="n"/>
      <c r="R437" s="22" t="n"/>
      <c r="T437" s="22" t="n"/>
    </row>
    <row r="438" ht="15.75" customHeight="1" s="23">
      <c r="L438" s="20" t="n"/>
      <c r="M438" s="21" t="n"/>
      <c r="P438" s="22" t="n"/>
      <c r="R438" s="22" t="n"/>
      <c r="T438" s="22" t="n"/>
    </row>
    <row r="439" ht="15.75" customHeight="1" s="23">
      <c r="L439" s="20" t="n"/>
      <c r="M439" s="21" t="n"/>
      <c r="P439" s="22" t="n"/>
      <c r="R439" s="22" t="n"/>
      <c r="T439" s="22" t="n"/>
    </row>
    <row r="440" ht="15.75" customHeight="1" s="23">
      <c r="L440" s="20" t="n"/>
      <c r="M440" s="21" t="n"/>
      <c r="P440" s="22" t="n"/>
      <c r="R440" s="22" t="n"/>
      <c r="T440" s="22" t="n"/>
    </row>
    <row r="441" ht="15.75" customHeight="1" s="23">
      <c r="L441" s="20" t="n"/>
      <c r="M441" s="21" t="n"/>
      <c r="P441" s="22" t="n"/>
      <c r="R441" s="22" t="n"/>
      <c r="T441" s="22" t="n"/>
    </row>
    <row r="442" ht="15.75" customHeight="1" s="23">
      <c r="L442" s="20" t="n"/>
      <c r="M442" s="21" t="n"/>
      <c r="P442" s="22" t="n"/>
      <c r="R442" s="22" t="n"/>
      <c r="T442" s="22" t="n"/>
    </row>
    <row r="443" ht="15.75" customHeight="1" s="23">
      <c r="L443" s="20" t="n"/>
      <c r="M443" s="21" t="n"/>
      <c r="P443" s="22" t="n"/>
      <c r="R443" s="22" t="n"/>
      <c r="T443" s="22" t="n"/>
    </row>
    <row r="444" ht="15.75" customHeight="1" s="23">
      <c r="L444" s="20" t="n"/>
      <c r="M444" s="21" t="n"/>
      <c r="P444" s="22" t="n"/>
      <c r="R444" s="22" t="n"/>
      <c r="T444" s="22" t="n"/>
    </row>
    <row r="445" ht="15.75" customHeight="1" s="23">
      <c r="L445" s="20" t="n"/>
      <c r="M445" s="21" t="n"/>
      <c r="P445" s="22" t="n"/>
      <c r="R445" s="22" t="n"/>
      <c r="T445" s="22" t="n"/>
    </row>
    <row r="446" ht="15.75" customHeight="1" s="23">
      <c r="L446" s="20" t="n"/>
      <c r="M446" s="21" t="n"/>
      <c r="P446" s="22" t="n"/>
      <c r="R446" s="22" t="n"/>
      <c r="T446" s="22" t="n"/>
    </row>
    <row r="447" ht="15.75" customHeight="1" s="23">
      <c r="L447" s="20" t="n"/>
      <c r="M447" s="21" t="n"/>
      <c r="P447" s="22" t="n"/>
      <c r="R447" s="22" t="n"/>
      <c r="T447" s="22" t="n"/>
    </row>
    <row r="448" ht="15.75" customHeight="1" s="23">
      <c r="L448" s="20" t="n"/>
      <c r="M448" s="21" t="n"/>
      <c r="P448" s="22" t="n"/>
      <c r="R448" s="22" t="n"/>
      <c r="T448" s="22" t="n"/>
    </row>
    <row r="449" ht="15.75" customHeight="1" s="23">
      <c r="L449" s="20" t="n"/>
      <c r="M449" s="21" t="n"/>
      <c r="P449" s="22" t="n"/>
      <c r="R449" s="22" t="n"/>
      <c r="T449" s="22" t="n"/>
    </row>
    <row r="450" ht="15.75" customHeight="1" s="23">
      <c r="L450" s="20" t="n"/>
      <c r="M450" s="21" t="n"/>
      <c r="P450" s="22" t="n"/>
      <c r="R450" s="22" t="n"/>
      <c r="T450" s="22" t="n"/>
    </row>
    <row r="451" ht="15.75" customHeight="1" s="23">
      <c r="L451" s="20" t="n"/>
      <c r="M451" s="21" t="n"/>
      <c r="P451" s="22" t="n"/>
      <c r="R451" s="22" t="n"/>
      <c r="T451" s="22" t="n"/>
    </row>
    <row r="452" ht="15.75" customHeight="1" s="23">
      <c r="L452" s="20" t="n"/>
      <c r="M452" s="21" t="n"/>
      <c r="P452" s="22" t="n"/>
      <c r="R452" s="22" t="n"/>
      <c r="T452" s="22" t="n"/>
    </row>
    <row r="453" ht="15.75" customHeight="1" s="23">
      <c r="L453" s="20" t="n"/>
      <c r="M453" s="21" t="n"/>
      <c r="P453" s="22" t="n"/>
      <c r="R453" s="22" t="n"/>
      <c r="T453" s="22" t="n"/>
    </row>
    <row r="454" ht="15.75" customHeight="1" s="23">
      <c r="L454" s="20" t="n"/>
      <c r="M454" s="21" t="n"/>
      <c r="P454" s="22" t="n"/>
      <c r="R454" s="22" t="n"/>
      <c r="T454" s="22" t="n"/>
    </row>
    <row r="455" ht="15.75" customHeight="1" s="23">
      <c r="L455" s="20" t="n"/>
      <c r="M455" s="21" t="n"/>
      <c r="P455" s="22" t="n"/>
      <c r="R455" s="22" t="n"/>
      <c r="T455" s="22" t="n"/>
    </row>
    <row r="456" ht="15.75" customHeight="1" s="23">
      <c r="L456" s="20" t="n"/>
      <c r="M456" s="21" t="n"/>
      <c r="P456" s="22" t="n"/>
      <c r="R456" s="22" t="n"/>
      <c r="T456" s="22" t="n"/>
    </row>
    <row r="457" ht="15.75" customHeight="1" s="23">
      <c r="L457" s="20" t="n"/>
      <c r="M457" s="21" t="n"/>
      <c r="P457" s="22" t="n"/>
      <c r="R457" s="22" t="n"/>
      <c r="T457" s="22" t="n"/>
    </row>
    <row r="458" ht="15.75" customHeight="1" s="23">
      <c r="L458" s="20" t="n"/>
      <c r="M458" s="21" t="n"/>
      <c r="P458" s="22" t="n"/>
      <c r="R458" s="22" t="n"/>
      <c r="T458" s="22" t="n"/>
    </row>
    <row r="459" ht="15.75" customHeight="1" s="23">
      <c r="L459" s="20" t="n"/>
      <c r="M459" s="21" t="n"/>
      <c r="P459" s="22" t="n"/>
      <c r="R459" s="22" t="n"/>
      <c r="T459" s="22" t="n"/>
    </row>
    <row r="460" ht="15.75" customHeight="1" s="23">
      <c r="L460" s="20" t="n"/>
      <c r="M460" s="21" t="n"/>
      <c r="P460" s="22" t="n"/>
      <c r="R460" s="22" t="n"/>
      <c r="T460" s="22" t="n"/>
    </row>
    <row r="461" ht="15.75" customHeight="1" s="23">
      <c r="L461" s="20" t="n"/>
      <c r="M461" s="21" t="n"/>
      <c r="P461" s="22" t="n"/>
      <c r="R461" s="22" t="n"/>
      <c r="T461" s="22" t="n"/>
    </row>
    <row r="462" ht="15.75" customHeight="1" s="23">
      <c r="L462" s="20" t="n"/>
      <c r="M462" s="21" t="n"/>
      <c r="P462" s="22" t="n"/>
      <c r="R462" s="22" t="n"/>
      <c r="T462" s="22" t="n"/>
    </row>
    <row r="463" ht="15.75" customHeight="1" s="23">
      <c r="L463" s="20" t="n"/>
      <c r="M463" s="21" t="n"/>
      <c r="P463" s="22" t="n"/>
      <c r="R463" s="22" t="n"/>
      <c r="T463" s="22" t="n"/>
    </row>
    <row r="464" ht="15.75" customHeight="1" s="23">
      <c r="L464" s="20" t="n"/>
      <c r="M464" s="21" t="n"/>
      <c r="P464" s="22" t="n"/>
      <c r="R464" s="22" t="n"/>
      <c r="T464" s="22" t="n"/>
    </row>
    <row r="465" ht="15.75" customHeight="1" s="23">
      <c r="L465" s="20" t="n"/>
      <c r="M465" s="21" t="n"/>
      <c r="P465" s="22" t="n"/>
      <c r="R465" s="22" t="n"/>
      <c r="T465" s="22" t="n"/>
    </row>
    <row r="466" ht="15.75" customHeight="1" s="23">
      <c r="L466" s="20" t="n"/>
      <c r="M466" s="21" t="n"/>
      <c r="P466" s="22" t="n"/>
      <c r="R466" s="22" t="n"/>
      <c r="T466" s="22" t="n"/>
    </row>
    <row r="467" ht="15.75" customHeight="1" s="23">
      <c r="L467" s="20" t="n"/>
      <c r="M467" s="21" t="n"/>
      <c r="P467" s="22" t="n"/>
      <c r="R467" s="22" t="n"/>
      <c r="T467" s="22" t="n"/>
    </row>
    <row r="468" ht="15.75" customHeight="1" s="23">
      <c r="L468" s="20" t="n"/>
      <c r="M468" s="21" t="n"/>
      <c r="P468" s="22" t="n"/>
      <c r="R468" s="22" t="n"/>
      <c r="T468" s="22" t="n"/>
    </row>
    <row r="469" ht="15.75" customHeight="1" s="23">
      <c r="L469" s="20" t="n"/>
      <c r="M469" s="21" t="n"/>
      <c r="P469" s="22" t="n"/>
      <c r="R469" s="22" t="n"/>
      <c r="T469" s="22" t="n"/>
    </row>
    <row r="470" ht="15.75" customHeight="1" s="23">
      <c r="L470" s="20" t="n"/>
      <c r="M470" s="21" t="n"/>
      <c r="P470" s="22" t="n"/>
      <c r="R470" s="22" t="n"/>
      <c r="T470" s="22" t="n"/>
    </row>
    <row r="471" ht="15.75" customHeight="1" s="23">
      <c r="L471" s="20" t="n"/>
      <c r="M471" s="21" t="n"/>
      <c r="P471" s="22" t="n"/>
      <c r="R471" s="22" t="n"/>
      <c r="T471" s="22" t="n"/>
    </row>
    <row r="472" ht="15.75" customHeight="1" s="23">
      <c r="L472" s="20" t="n"/>
      <c r="M472" s="21" t="n"/>
      <c r="P472" s="22" t="n"/>
      <c r="R472" s="22" t="n"/>
      <c r="T472" s="22" t="n"/>
    </row>
    <row r="473" ht="15.75" customHeight="1" s="23">
      <c r="L473" s="20" t="n"/>
      <c r="M473" s="21" t="n"/>
      <c r="P473" s="22" t="n"/>
      <c r="R473" s="22" t="n"/>
      <c r="T473" s="22" t="n"/>
    </row>
    <row r="474" ht="15.75" customHeight="1" s="23">
      <c r="L474" s="20" t="n"/>
      <c r="M474" s="21" t="n"/>
      <c r="P474" s="22" t="n"/>
      <c r="R474" s="22" t="n"/>
      <c r="T474" s="22" t="n"/>
    </row>
    <row r="475" ht="15.75" customHeight="1" s="23">
      <c r="L475" s="20" t="n"/>
      <c r="M475" s="21" t="n"/>
      <c r="P475" s="22" t="n"/>
      <c r="R475" s="22" t="n"/>
      <c r="T475" s="22" t="n"/>
    </row>
    <row r="476" ht="15.75" customHeight="1" s="23">
      <c r="L476" s="20" t="n"/>
      <c r="M476" s="21" t="n"/>
      <c r="P476" s="22" t="n"/>
      <c r="R476" s="22" t="n"/>
      <c r="T476" s="22" t="n"/>
    </row>
    <row r="477" ht="15.75" customHeight="1" s="23">
      <c r="L477" s="20" t="n"/>
      <c r="M477" s="21" t="n"/>
      <c r="P477" s="22" t="n"/>
      <c r="R477" s="22" t="n"/>
      <c r="T477" s="22" t="n"/>
    </row>
    <row r="478" ht="15.75" customHeight="1" s="23">
      <c r="L478" s="20" t="n"/>
      <c r="M478" s="21" t="n"/>
      <c r="P478" s="22" t="n"/>
      <c r="R478" s="22" t="n"/>
      <c r="T478" s="22" t="n"/>
    </row>
    <row r="479" ht="15.75" customHeight="1" s="23">
      <c r="L479" s="20" t="n"/>
      <c r="M479" s="21" t="n"/>
      <c r="P479" s="22" t="n"/>
      <c r="R479" s="22" t="n"/>
      <c r="T479" s="22" t="n"/>
    </row>
    <row r="480" ht="15.75" customHeight="1" s="23">
      <c r="L480" s="20" t="n"/>
      <c r="M480" s="21" t="n"/>
      <c r="P480" s="22" t="n"/>
      <c r="R480" s="22" t="n"/>
      <c r="T480" s="22" t="n"/>
    </row>
    <row r="481" ht="15.75" customHeight="1" s="23">
      <c r="L481" s="20" t="n"/>
      <c r="M481" s="21" t="n"/>
      <c r="P481" s="22" t="n"/>
      <c r="R481" s="22" t="n"/>
      <c r="T481" s="22" t="n"/>
    </row>
    <row r="482" ht="15.75" customHeight="1" s="23">
      <c r="L482" s="20" t="n"/>
      <c r="M482" s="21" t="n"/>
      <c r="P482" s="22" t="n"/>
      <c r="R482" s="22" t="n"/>
      <c r="T482" s="22" t="n"/>
    </row>
    <row r="483" ht="15.75" customHeight="1" s="23">
      <c r="L483" s="20" t="n"/>
      <c r="M483" s="21" t="n"/>
      <c r="P483" s="22" t="n"/>
      <c r="R483" s="22" t="n"/>
      <c r="T483" s="22" t="n"/>
    </row>
    <row r="484" ht="15.75" customHeight="1" s="23">
      <c r="L484" s="20" t="n"/>
      <c r="M484" s="21" t="n"/>
      <c r="P484" s="22" t="n"/>
      <c r="R484" s="22" t="n"/>
      <c r="T484" s="22" t="n"/>
    </row>
    <row r="485" ht="15.75" customHeight="1" s="23">
      <c r="L485" s="20" t="n"/>
      <c r="M485" s="21" t="n"/>
      <c r="P485" s="22" t="n"/>
      <c r="R485" s="22" t="n"/>
      <c r="T485" s="22" t="n"/>
    </row>
    <row r="486" ht="15.75" customHeight="1" s="23">
      <c r="L486" s="20" t="n"/>
      <c r="M486" s="21" t="n"/>
      <c r="P486" s="22" t="n"/>
      <c r="R486" s="22" t="n"/>
      <c r="T486" s="22" t="n"/>
    </row>
    <row r="487" ht="15.75" customHeight="1" s="23">
      <c r="L487" s="20" t="n"/>
      <c r="M487" s="21" t="n"/>
      <c r="P487" s="22" t="n"/>
      <c r="R487" s="22" t="n"/>
      <c r="T487" s="22" t="n"/>
    </row>
    <row r="488" ht="15.75" customHeight="1" s="23">
      <c r="L488" s="20" t="n"/>
      <c r="M488" s="21" t="n"/>
      <c r="P488" s="22" t="n"/>
      <c r="R488" s="22" t="n"/>
      <c r="T488" s="22" t="n"/>
    </row>
    <row r="489" ht="15.75" customHeight="1" s="23">
      <c r="L489" s="20" t="n"/>
      <c r="M489" s="21" t="n"/>
      <c r="P489" s="22" t="n"/>
      <c r="R489" s="22" t="n"/>
      <c r="T489" s="22" t="n"/>
    </row>
    <row r="490" ht="15.75" customHeight="1" s="23">
      <c r="L490" s="20" t="n"/>
      <c r="M490" s="21" t="n"/>
      <c r="P490" s="22" t="n"/>
      <c r="R490" s="22" t="n"/>
      <c r="T490" s="22" t="n"/>
    </row>
    <row r="491" ht="15.75" customHeight="1" s="23">
      <c r="L491" s="20" t="n"/>
      <c r="M491" s="21" t="n"/>
      <c r="P491" s="22" t="n"/>
      <c r="R491" s="22" t="n"/>
      <c r="T491" s="22" t="n"/>
    </row>
    <row r="492" ht="15.75" customHeight="1" s="23">
      <c r="L492" s="20" t="n"/>
      <c r="M492" s="21" t="n"/>
      <c r="P492" s="22" t="n"/>
      <c r="R492" s="22" t="n"/>
      <c r="T492" s="22" t="n"/>
    </row>
    <row r="493" ht="15.75" customHeight="1" s="23">
      <c r="L493" s="20" t="n"/>
      <c r="M493" s="21" t="n"/>
      <c r="P493" s="22" t="n"/>
      <c r="R493" s="22" t="n"/>
      <c r="T493" s="22" t="n"/>
    </row>
    <row r="494" ht="15.75" customHeight="1" s="23">
      <c r="L494" s="20" t="n"/>
      <c r="M494" s="21" t="n"/>
      <c r="P494" s="22" t="n"/>
      <c r="R494" s="22" t="n"/>
      <c r="T494" s="22" t="n"/>
    </row>
    <row r="495" ht="15.75" customHeight="1" s="23">
      <c r="L495" s="20" t="n"/>
      <c r="M495" s="21" t="n"/>
      <c r="P495" s="22" t="n"/>
      <c r="R495" s="22" t="n"/>
      <c r="T495" s="22" t="n"/>
    </row>
    <row r="496" ht="15.75" customHeight="1" s="23">
      <c r="L496" s="20" t="n"/>
      <c r="M496" s="21" t="n"/>
      <c r="P496" s="22" t="n"/>
      <c r="R496" s="22" t="n"/>
      <c r="T496" s="22" t="n"/>
    </row>
    <row r="497" ht="15.75" customHeight="1" s="23">
      <c r="L497" s="20" t="n"/>
      <c r="M497" s="21" t="n"/>
      <c r="P497" s="22" t="n"/>
      <c r="R497" s="22" t="n"/>
      <c r="T497" s="22" t="n"/>
    </row>
    <row r="498" ht="15.75" customHeight="1" s="23">
      <c r="L498" s="20" t="n"/>
      <c r="M498" s="21" t="n"/>
      <c r="P498" s="22" t="n"/>
      <c r="R498" s="22" t="n"/>
      <c r="T498" s="22" t="n"/>
    </row>
    <row r="499" ht="15.75" customHeight="1" s="23">
      <c r="L499" s="20" t="n"/>
      <c r="M499" s="21" t="n"/>
      <c r="P499" s="22" t="n"/>
      <c r="R499" s="22" t="n"/>
      <c r="T499" s="22" t="n"/>
    </row>
    <row r="500" ht="15.75" customHeight="1" s="23">
      <c r="L500" s="20" t="n"/>
      <c r="M500" s="21" t="n"/>
      <c r="P500" s="22" t="n"/>
      <c r="R500" s="22" t="n"/>
      <c r="T500" s="22" t="n"/>
    </row>
    <row r="501" ht="15.75" customHeight="1" s="23">
      <c r="L501" s="20" t="n"/>
      <c r="M501" s="21" t="n"/>
      <c r="P501" s="22" t="n"/>
      <c r="R501" s="22" t="n"/>
      <c r="T501" s="22" t="n"/>
    </row>
    <row r="502" ht="15.75" customHeight="1" s="23">
      <c r="L502" s="20" t="n"/>
      <c r="M502" s="21" t="n"/>
      <c r="P502" s="22" t="n"/>
      <c r="R502" s="22" t="n"/>
      <c r="T502" s="22" t="n"/>
    </row>
    <row r="503" ht="15.75" customHeight="1" s="23">
      <c r="L503" s="20" t="n"/>
      <c r="M503" s="21" t="n"/>
      <c r="P503" s="22" t="n"/>
      <c r="R503" s="22" t="n"/>
      <c r="T503" s="22" t="n"/>
    </row>
    <row r="504" ht="15.75" customHeight="1" s="23">
      <c r="L504" s="20" t="n"/>
      <c r="M504" s="21" t="n"/>
      <c r="P504" s="22" t="n"/>
      <c r="R504" s="22" t="n"/>
      <c r="T504" s="22" t="n"/>
    </row>
    <row r="505" ht="15.75" customHeight="1" s="23">
      <c r="L505" s="20" t="n"/>
      <c r="M505" s="21" t="n"/>
      <c r="P505" s="22" t="n"/>
      <c r="R505" s="22" t="n"/>
      <c r="T505" s="22" t="n"/>
    </row>
    <row r="506" ht="15.75" customHeight="1" s="23">
      <c r="L506" s="20" t="n"/>
      <c r="M506" s="21" t="n"/>
      <c r="P506" s="22" t="n"/>
      <c r="R506" s="22" t="n"/>
      <c r="T506" s="22" t="n"/>
    </row>
    <row r="507" ht="15.75" customHeight="1" s="23">
      <c r="L507" s="20" t="n"/>
      <c r="M507" s="21" t="n"/>
      <c r="P507" s="22" t="n"/>
      <c r="R507" s="22" t="n"/>
      <c r="T507" s="22" t="n"/>
    </row>
    <row r="508" ht="15.75" customHeight="1" s="23">
      <c r="L508" s="20" t="n"/>
      <c r="M508" s="21" t="n"/>
      <c r="P508" s="22" t="n"/>
      <c r="R508" s="22" t="n"/>
      <c r="T508" s="22" t="n"/>
    </row>
    <row r="509" ht="15.75" customHeight="1" s="23">
      <c r="L509" s="20" t="n"/>
      <c r="M509" s="21" t="n"/>
      <c r="P509" s="22" t="n"/>
      <c r="R509" s="22" t="n"/>
      <c r="T509" s="22" t="n"/>
    </row>
    <row r="510" ht="15.75" customHeight="1" s="23">
      <c r="L510" s="20" t="n"/>
      <c r="M510" s="21" t="n"/>
      <c r="P510" s="22" t="n"/>
      <c r="R510" s="22" t="n"/>
      <c r="T510" s="22" t="n"/>
    </row>
    <row r="511" ht="15.75" customHeight="1" s="23">
      <c r="L511" s="20" t="n"/>
      <c r="M511" s="21" t="n"/>
      <c r="P511" s="22" t="n"/>
      <c r="R511" s="22" t="n"/>
      <c r="T511" s="22" t="n"/>
    </row>
    <row r="512" ht="15.75" customHeight="1" s="23">
      <c r="L512" s="20" t="n"/>
      <c r="M512" s="21" t="n"/>
      <c r="P512" s="22" t="n"/>
      <c r="R512" s="22" t="n"/>
      <c r="T512" s="22" t="n"/>
    </row>
    <row r="513" ht="15.75" customHeight="1" s="23">
      <c r="L513" s="20" t="n"/>
      <c r="M513" s="21" t="n"/>
      <c r="P513" s="22" t="n"/>
      <c r="R513" s="22" t="n"/>
      <c r="T513" s="22" t="n"/>
    </row>
    <row r="514" ht="15.75" customHeight="1" s="23">
      <c r="L514" s="20" t="n"/>
      <c r="M514" s="21" t="n"/>
      <c r="P514" s="22" t="n"/>
      <c r="R514" s="22" t="n"/>
      <c r="T514" s="22" t="n"/>
    </row>
    <row r="515" ht="15.75" customHeight="1" s="23">
      <c r="L515" s="20" t="n"/>
      <c r="M515" s="21" t="n"/>
      <c r="P515" s="22" t="n"/>
      <c r="R515" s="22" t="n"/>
      <c r="T515" s="22" t="n"/>
    </row>
    <row r="516" ht="15.75" customHeight="1" s="23">
      <c r="L516" s="20" t="n"/>
      <c r="M516" s="21" t="n"/>
      <c r="P516" s="22" t="n"/>
      <c r="R516" s="22" t="n"/>
      <c r="T516" s="22" t="n"/>
    </row>
    <row r="517" ht="15.75" customHeight="1" s="23">
      <c r="L517" s="20" t="n"/>
      <c r="M517" s="21" t="n"/>
      <c r="P517" s="22" t="n"/>
      <c r="R517" s="22" t="n"/>
      <c r="T517" s="22" t="n"/>
    </row>
    <row r="518" ht="15.75" customHeight="1" s="23">
      <c r="L518" s="20" t="n"/>
      <c r="M518" s="21" t="n"/>
      <c r="P518" s="22" t="n"/>
      <c r="R518" s="22" t="n"/>
      <c r="T518" s="22" t="n"/>
    </row>
    <row r="519" ht="15.75" customHeight="1" s="23">
      <c r="L519" s="20" t="n"/>
      <c r="M519" s="21" t="n"/>
      <c r="P519" s="22" t="n"/>
      <c r="R519" s="22" t="n"/>
      <c r="T519" s="22" t="n"/>
    </row>
    <row r="520" ht="15.75" customHeight="1" s="23">
      <c r="L520" s="20" t="n"/>
      <c r="M520" s="21" t="n"/>
      <c r="P520" s="22" t="n"/>
      <c r="R520" s="22" t="n"/>
      <c r="T520" s="22" t="n"/>
    </row>
    <row r="521" ht="15.75" customHeight="1" s="23">
      <c r="L521" s="20" t="n"/>
      <c r="M521" s="21" t="n"/>
      <c r="P521" s="22" t="n"/>
      <c r="R521" s="22" t="n"/>
      <c r="T521" s="22" t="n"/>
    </row>
    <row r="522" ht="15.75" customHeight="1" s="23">
      <c r="L522" s="20" t="n"/>
      <c r="M522" s="21" t="n"/>
      <c r="P522" s="22" t="n"/>
      <c r="R522" s="22" t="n"/>
      <c r="T522" s="22" t="n"/>
    </row>
    <row r="523" ht="15.75" customHeight="1" s="23">
      <c r="L523" s="20" t="n"/>
      <c r="M523" s="21" t="n"/>
      <c r="P523" s="22" t="n"/>
      <c r="R523" s="22" t="n"/>
      <c r="T523" s="22" t="n"/>
    </row>
    <row r="524" ht="15.75" customHeight="1" s="23">
      <c r="L524" s="20" t="n"/>
      <c r="M524" s="21" t="n"/>
      <c r="P524" s="22" t="n"/>
      <c r="R524" s="22" t="n"/>
      <c r="T524" s="22" t="n"/>
    </row>
    <row r="525" ht="15.75" customHeight="1" s="23">
      <c r="L525" s="20" t="n"/>
      <c r="M525" s="21" t="n"/>
      <c r="P525" s="22" t="n"/>
      <c r="R525" s="22" t="n"/>
      <c r="T525" s="22" t="n"/>
    </row>
    <row r="526" ht="15.75" customHeight="1" s="23">
      <c r="L526" s="20" t="n"/>
      <c r="M526" s="21" t="n"/>
      <c r="P526" s="22" t="n"/>
      <c r="R526" s="22" t="n"/>
      <c r="T526" s="22" t="n"/>
    </row>
    <row r="527" ht="15.75" customHeight="1" s="23">
      <c r="L527" s="20" t="n"/>
      <c r="M527" s="21" t="n"/>
      <c r="P527" s="22" t="n"/>
      <c r="R527" s="22" t="n"/>
      <c r="T527" s="22" t="n"/>
    </row>
    <row r="528" ht="15.75" customHeight="1" s="23">
      <c r="L528" s="20" t="n"/>
      <c r="M528" s="21" t="n"/>
      <c r="P528" s="22" t="n"/>
      <c r="R528" s="22" t="n"/>
      <c r="T528" s="22" t="n"/>
    </row>
    <row r="529" ht="15.75" customHeight="1" s="23">
      <c r="L529" s="20" t="n"/>
      <c r="M529" s="21" t="n"/>
      <c r="P529" s="22" t="n"/>
      <c r="R529" s="22" t="n"/>
      <c r="T529" s="22" t="n"/>
    </row>
    <row r="530" ht="15.75" customHeight="1" s="23">
      <c r="L530" s="20" t="n"/>
      <c r="M530" s="21" t="n"/>
      <c r="P530" s="22" t="n"/>
      <c r="R530" s="22" t="n"/>
      <c r="T530" s="22" t="n"/>
    </row>
    <row r="531" ht="15.75" customHeight="1" s="23">
      <c r="L531" s="20" t="n"/>
      <c r="M531" s="21" t="n"/>
      <c r="P531" s="22" t="n"/>
      <c r="R531" s="22" t="n"/>
      <c r="T531" s="22" t="n"/>
    </row>
    <row r="532" ht="15.75" customHeight="1" s="23">
      <c r="L532" s="20" t="n"/>
      <c r="M532" s="21" t="n"/>
      <c r="P532" s="22" t="n"/>
      <c r="R532" s="22" t="n"/>
      <c r="T532" s="22" t="n"/>
    </row>
    <row r="533" ht="15.75" customHeight="1" s="23">
      <c r="L533" s="20" t="n"/>
      <c r="M533" s="21" t="n"/>
      <c r="P533" s="22" t="n"/>
      <c r="R533" s="22" t="n"/>
      <c r="T533" s="22" t="n"/>
    </row>
    <row r="534" ht="15.75" customHeight="1" s="23">
      <c r="L534" s="20" t="n"/>
      <c r="M534" s="21" t="n"/>
      <c r="P534" s="22" t="n"/>
      <c r="R534" s="22" t="n"/>
      <c r="T534" s="22" t="n"/>
    </row>
    <row r="535" ht="15.75" customHeight="1" s="23">
      <c r="L535" s="20" t="n"/>
      <c r="M535" s="21" t="n"/>
      <c r="P535" s="22" t="n"/>
      <c r="R535" s="22" t="n"/>
      <c r="T535" s="22" t="n"/>
    </row>
    <row r="536" ht="15.75" customHeight="1" s="23">
      <c r="L536" s="20" t="n"/>
      <c r="M536" s="21" t="n"/>
      <c r="P536" s="22" t="n"/>
      <c r="R536" s="22" t="n"/>
      <c r="T536" s="22" t="n"/>
    </row>
    <row r="537" ht="15.75" customHeight="1" s="23">
      <c r="L537" s="20" t="n"/>
      <c r="M537" s="21" t="n"/>
      <c r="P537" s="22" t="n"/>
      <c r="R537" s="22" t="n"/>
      <c r="T537" s="22" t="n"/>
    </row>
    <row r="538" ht="15.75" customHeight="1" s="23">
      <c r="L538" s="20" t="n"/>
      <c r="M538" s="21" t="n"/>
      <c r="P538" s="22" t="n"/>
      <c r="R538" s="22" t="n"/>
      <c r="T538" s="22" t="n"/>
    </row>
    <row r="539" ht="15.75" customHeight="1" s="23">
      <c r="L539" s="20" t="n"/>
      <c r="M539" s="21" t="n"/>
      <c r="P539" s="22" t="n"/>
      <c r="R539" s="22" t="n"/>
      <c r="T539" s="22" t="n"/>
    </row>
    <row r="540" ht="15.75" customHeight="1" s="23">
      <c r="L540" s="20" t="n"/>
      <c r="M540" s="21" t="n"/>
      <c r="P540" s="22" t="n"/>
      <c r="R540" s="22" t="n"/>
      <c r="T540" s="22" t="n"/>
    </row>
    <row r="541" ht="15.75" customHeight="1" s="23">
      <c r="L541" s="20" t="n"/>
      <c r="M541" s="21" t="n"/>
      <c r="P541" s="22" t="n"/>
      <c r="R541" s="22" t="n"/>
      <c r="T541" s="22" t="n"/>
    </row>
    <row r="542" ht="15.75" customHeight="1" s="23">
      <c r="L542" s="20" t="n"/>
      <c r="M542" s="21" t="n"/>
      <c r="P542" s="22" t="n"/>
      <c r="R542" s="22" t="n"/>
      <c r="T542" s="22" t="n"/>
    </row>
    <row r="543" ht="15.75" customHeight="1" s="23">
      <c r="L543" s="20" t="n"/>
      <c r="M543" s="21" t="n"/>
      <c r="P543" s="22" t="n"/>
      <c r="R543" s="22" t="n"/>
      <c r="T543" s="22" t="n"/>
    </row>
    <row r="544" ht="15.75" customHeight="1" s="23">
      <c r="L544" s="20" t="n"/>
      <c r="M544" s="21" t="n"/>
      <c r="P544" s="22" t="n"/>
      <c r="R544" s="22" t="n"/>
      <c r="T544" s="22" t="n"/>
    </row>
    <row r="545" ht="15.75" customHeight="1" s="23">
      <c r="L545" s="20" t="n"/>
      <c r="M545" s="21" t="n"/>
      <c r="P545" s="22" t="n"/>
      <c r="R545" s="22" t="n"/>
      <c r="T545" s="22" t="n"/>
    </row>
    <row r="546" ht="15.75" customHeight="1" s="23">
      <c r="L546" s="20" t="n"/>
      <c r="M546" s="21" t="n"/>
      <c r="P546" s="22" t="n"/>
      <c r="R546" s="22" t="n"/>
      <c r="T546" s="22" t="n"/>
    </row>
    <row r="547" ht="15.75" customHeight="1" s="23">
      <c r="L547" s="20" t="n"/>
      <c r="M547" s="21" t="n"/>
      <c r="P547" s="22" t="n"/>
      <c r="R547" s="22" t="n"/>
      <c r="T547" s="22" t="n"/>
    </row>
    <row r="548" ht="15.75" customHeight="1" s="23">
      <c r="L548" s="20" t="n"/>
      <c r="M548" s="21" t="n"/>
      <c r="P548" s="22" t="n"/>
      <c r="R548" s="22" t="n"/>
      <c r="T548" s="22" t="n"/>
    </row>
    <row r="549" ht="15.75" customHeight="1" s="23">
      <c r="L549" s="20" t="n"/>
      <c r="M549" s="21" t="n"/>
      <c r="P549" s="22" t="n"/>
      <c r="R549" s="22" t="n"/>
      <c r="T549" s="22" t="n"/>
    </row>
    <row r="550" ht="15.75" customHeight="1" s="23">
      <c r="L550" s="20" t="n"/>
      <c r="M550" s="21" t="n"/>
      <c r="P550" s="22" t="n"/>
      <c r="R550" s="22" t="n"/>
      <c r="T550" s="22" t="n"/>
    </row>
    <row r="551" ht="15.75" customHeight="1" s="23">
      <c r="L551" s="20" t="n"/>
      <c r="M551" s="21" t="n"/>
      <c r="P551" s="22" t="n"/>
      <c r="R551" s="22" t="n"/>
      <c r="T551" s="22" t="n"/>
    </row>
    <row r="552" ht="15.75" customHeight="1" s="23">
      <c r="L552" s="20" t="n"/>
      <c r="M552" s="21" t="n"/>
      <c r="P552" s="22" t="n"/>
      <c r="R552" s="22" t="n"/>
      <c r="T552" s="22" t="n"/>
    </row>
    <row r="553" ht="15.75" customHeight="1" s="23">
      <c r="L553" s="20" t="n"/>
      <c r="M553" s="21" t="n"/>
      <c r="P553" s="22" t="n"/>
      <c r="R553" s="22" t="n"/>
      <c r="T553" s="22" t="n"/>
    </row>
    <row r="554" ht="15.75" customHeight="1" s="23">
      <c r="L554" s="20" t="n"/>
      <c r="M554" s="21" t="n"/>
      <c r="P554" s="22" t="n"/>
      <c r="R554" s="22" t="n"/>
      <c r="T554" s="22" t="n"/>
    </row>
    <row r="555" ht="15.75" customHeight="1" s="23">
      <c r="L555" s="20" t="n"/>
      <c r="M555" s="21" t="n"/>
      <c r="P555" s="22" t="n"/>
      <c r="R555" s="22" t="n"/>
      <c r="T555" s="22" t="n"/>
    </row>
    <row r="556" ht="15.75" customHeight="1" s="23">
      <c r="L556" s="20" t="n"/>
      <c r="M556" s="21" t="n"/>
      <c r="P556" s="22" t="n"/>
      <c r="R556" s="22" t="n"/>
      <c r="T556" s="22" t="n"/>
    </row>
    <row r="557" ht="15.75" customHeight="1" s="23">
      <c r="L557" s="20" t="n"/>
      <c r="M557" s="21" t="n"/>
      <c r="P557" s="22" t="n"/>
      <c r="R557" s="22" t="n"/>
      <c r="T557" s="22" t="n"/>
    </row>
    <row r="558" ht="15.75" customHeight="1" s="23">
      <c r="L558" s="20" t="n"/>
      <c r="M558" s="21" t="n"/>
      <c r="P558" s="22" t="n"/>
      <c r="R558" s="22" t="n"/>
      <c r="T558" s="22" t="n"/>
    </row>
    <row r="559" ht="15.75" customHeight="1" s="23">
      <c r="L559" s="20" t="n"/>
      <c r="M559" s="21" t="n"/>
      <c r="P559" s="22" t="n"/>
      <c r="R559" s="22" t="n"/>
      <c r="T559" s="22" t="n"/>
    </row>
    <row r="560" ht="15.75" customHeight="1" s="23">
      <c r="L560" s="20" t="n"/>
      <c r="M560" s="21" t="n"/>
      <c r="P560" s="22" t="n"/>
      <c r="R560" s="22" t="n"/>
      <c r="T560" s="22" t="n"/>
    </row>
    <row r="561" ht="15.75" customHeight="1" s="23">
      <c r="L561" s="20" t="n"/>
      <c r="M561" s="21" t="n"/>
      <c r="P561" s="22" t="n"/>
      <c r="R561" s="22" t="n"/>
      <c r="T561" s="22" t="n"/>
    </row>
    <row r="562" ht="15.75" customHeight="1" s="23">
      <c r="L562" s="20" t="n"/>
      <c r="M562" s="21" t="n"/>
      <c r="P562" s="22" t="n"/>
      <c r="R562" s="22" t="n"/>
      <c r="T562" s="22" t="n"/>
    </row>
    <row r="563" ht="15.75" customHeight="1" s="23">
      <c r="L563" s="20" t="n"/>
      <c r="M563" s="21" t="n"/>
      <c r="P563" s="22" t="n"/>
      <c r="R563" s="22" t="n"/>
      <c r="T563" s="22" t="n"/>
    </row>
    <row r="564" ht="15.75" customHeight="1" s="23">
      <c r="L564" s="20" t="n"/>
      <c r="M564" s="21" t="n"/>
      <c r="P564" s="22" t="n"/>
      <c r="R564" s="22" t="n"/>
      <c r="T564" s="22" t="n"/>
    </row>
    <row r="565" ht="15.75" customHeight="1" s="23">
      <c r="L565" s="20" t="n"/>
      <c r="M565" s="21" t="n"/>
      <c r="P565" s="22" t="n"/>
      <c r="R565" s="22" t="n"/>
      <c r="T565" s="22" t="n"/>
    </row>
    <row r="566" ht="15.75" customHeight="1" s="23">
      <c r="L566" s="20" t="n"/>
      <c r="M566" s="21" t="n"/>
      <c r="P566" s="22" t="n"/>
      <c r="R566" s="22" t="n"/>
      <c r="T566" s="22" t="n"/>
    </row>
    <row r="567" ht="15.75" customHeight="1" s="23">
      <c r="L567" s="20" t="n"/>
      <c r="M567" s="21" t="n"/>
      <c r="P567" s="22" t="n"/>
      <c r="R567" s="22" t="n"/>
      <c r="T567" s="22" t="n"/>
    </row>
    <row r="568" ht="15.75" customHeight="1" s="23">
      <c r="L568" s="20" t="n"/>
      <c r="M568" s="21" t="n"/>
      <c r="P568" s="22" t="n"/>
      <c r="R568" s="22" t="n"/>
      <c r="T568" s="22" t="n"/>
    </row>
    <row r="569" ht="15.75" customHeight="1" s="23">
      <c r="L569" s="20" t="n"/>
      <c r="M569" s="21" t="n"/>
      <c r="P569" s="22" t="n"/>
      <c r="R569" s="22" t="n"/>
      <c r="T569" s="22" t="n"/>
    </row>
    <row r="570" ht="15.75" customHeight="1" s="23">
      <c r="L570" s="20" t="n"/>
      <c r="M570" s="21" t="n"/>
      <c r="P570" s="22" t="n"/>
      <c r="R570" s="22" t="n"/>
      <c r="T570" s="22" t="n"/>
    </row>
    <row r="571" ht="15.75" customHeight="1" s="23">
      <c r="L571" s="20" t="n"/>
      <c r="M571" s="21" t="n"/>
      <c r="P571" s="22" t="n"/>
      <c r="R571" s="22" t="n"/>
      <c r="T571" s="22" t="n"/>
    </row>
    <row r="572" ht="15.75" customHeight="1" s="23">
      <c r="L572" s="20" t="n"/>
      <c r="M572" s="21" t="n"/>
      <c r="P572" s="22" t="n"/>
      <c r="R572" s="22" t="n"/>
      <c r="T572" s="22" t="n"/>
    </row>
    <row r="573" ht="15.75" customHeight="1" s="23">
      <c r="L573" s="20" t="n"/>
      <c r="M573" s="21" t="n"/>
      <c r="P573" s="22" t="n"/>
      <c r="R573" s="22" t="n"/>
      <c r="T573" s="22" t="n"/>
    </row>
    <row r="574" ht="15.75" customHeight="1" s="23">
      <c r="L574" s="20" t="n"/>
      <c r="M574" s="21" t="n"/>
      <c r="P574" s="22" t="n"/>
      <c r="R574" s="22" t="n"/>
      <c r="T574" s="22" t="n"/>
    </row>
    <row r="575" ht="15.75" customHeight="1" s="23">
      <c r="L575" s="20" t="n"/>
      <c r="M575" s="21" t="n"/>
      <c r="P575" s="22" t="n"/>
      <c r="R575" s="22" t="n"/>
      <c r="T575" s="22" t="n"/>
    </row>
    <row r="576" ht="15.75" customHeight="1" s="23">
      <c r="L576" s="20" t="n"/>
      <c r="M576" s="21" t="n"/>
      <c r="P576" s="22" t="n"/>
      <c r="R576" s="22" t="n"/>
      <c r="T576" s="22" t="n"/>
    </row>
    <row r="577" ht="15.75" customHeight="1" s="23">
      <c r="L577" s="20" t="n"/>
      <c r="M577" s="21" t="n"/>
      <c r="P577" s="22" t="n"/>
      <c r="R577" s="22" t="n"/>
      <c r="T577" s="22" t="n"/>
    </row>
    <row r="578" ht="15.75" customHeight="1" s="23">
      <c r="L578" s="20" t="n"/>
      <c r="M578" s="21" t="n"/>
      <c r="P578" s="22" t="n"/>
      <c r="R578" s="22" t="n"/>
      <c r="T578" s="22" t="n"/>
    </row>
    <row r="579" ht="15.75" customHeight="1" s="23">
      <c r="L579" s="20" t="n"/>
      <c r="M579" s="21" t="n"/>
      <c r="P579" s="22" t="n"/>
      <c r="R579" s="22" t="n"/>
      <c r="T579" s="22" t="n"/>
    </row>
    <row r="580" ht="15.75" customHeight="1" s="23">
      <c r="L580" s="20" t="n"/>
      <c r="M580" s="21" t="n"/>
      <c r="P580" s="22" t="n"/>
      <c r="R580" s="22" t="n"/>
      <c r="T580" s="22" t="n"/>
    </row>
    <row r="581" ht="15.75" customHeight="1" s="23">
      <c r="L581" s="20" t="n"/>
      <c r="M581" s="21" t="n"/>
      <c r="P581" s="22" t="n"/>
      <c r="R581" s="22" t="n"/>
      <c r="T581" s="22" t="n"/>
    </row>
    <row r="582" ht="15.75" customHeight="1" s="23">
      <c r="L582" s="20" t="n"/>
      <c r="M582" s="21" t="n"/>
      <c r="P582" s="22" t="n"/>
      <c r="R582" s="22" t="n"/>
      <c r="T582" s="22" t="n"/>
    </row>
    <row r="583" ht="15.75" customHeight="1" s="23">
      <c r="L583" s="20" t="n"/>
      <c r="M583" s="21" t="n"/>
      <c r="P583" s="22" t="n"/>
      <c r="R583" s="22" t="n"/>
      <c r="T583" s="22" t="n"/>
    </row>
    <row r="584" ht="15.75" customHeight="1" s="23">
      <c r="L584" s="20" t="n"/>
      <c r="M584" s="21" t="n"/>
      <c r="P584" s="22" t="n"/>
      <c r="R584" s="22" t="n"/>
      <c r="T584" s="22" t="n"/>
    </row>
    <row r="585" ht="15.75" customHeight="1" s="23">
      <c r="L585" s="20" t="n"/>
      <c r="M585" s="21" t="n"/>
      <c r="P585" s="22" t="n"/>
      <c r="R585" s="22" t="n"/>
      <c r="T585" s="22" t="n"/>
    </row>
    <row r="586" ht="15.75" customHeight="1" s="23">
      <c r="L586" s="20" t="n"/>
      <c r="M586" s="21" t="n"/>
      <c r="P586" s="22" t="n"/>
      <c r="R586" s="22" t="n"/>
      <c r="T586" s="22" t="n"/>
    </row>
    <row r="587" ht="15.75" customHeight="1" s="23">
      <c r="L587" s="20" t="n"/>
      <c r="M587" s="21" t="n"/>
      <c r="P587" s="22" t="n"/>
      <c r="R587" s="22" t="n"/>
      <c r="T587" s="22" t="n"/>
    </row>
    <row r="588" ht="15.75" customHeight="1" s="23">
      <c r="L588" s="20" t="n"/>
      <c r="M588" s="21" t="n"/>
      <c r="P588" s="22" t="n"/>
      <c r="R588" s="22" t="n"/>
      <c r="T588" s="22" t="n"/>
    </row>
    <row r="589" ht="15.75" customHeight="1" s="23">
      <c r="L589" s="20" t="n"/>
      <c r="M589" s="21" t="n"/>
      <c r="P589" s="22" t="n"/>
      <c r="R589" s="22" t="n"/>
      <c r="T589" s="22" t="n"/>
    </row>
    <row r="590" ht="15.75" customHeight="1" s="23">
      <c r="L590" s="20" t="n"/>
      <c r="M590" s="21" t="n"/>
      <c r="P590" s="22" t="n"/>
      <c r="R590" s="22" t="n"/>
      <c r="T590" s="22" t="n"/>
    </row>
    <row r="591" ht="15.75" customHeight="1" s="23">
      <c r="L591" s="20" t="n"/>
      <c r="M591" s="21" t="n"/>
      <c r="P591" s="22" t="n"/>
      <c r="R591" s="22" t="n"/>
      <c r="T591" s="22" t="n"/>
    </row>
    <row r="592" ht="15.75" customHeight="1" s="23">
      <c r="L592" s="20" t="n"/>
      <c r="M592" s="21" t="n"/>
      <c r="P592" s="22" t="n"/>
      <c r="R592" s="22" t="n"/>
      <c r="T592" s="22" t="n"/>
    </row>
    <row r="593" ht="15.75" customHeight="1" s="23">
      <c r="L593" s="20" t="n"/>
      <c r="M593" s="21" t="n"/>
      <c r="P593" s="22" t="n"/>
      <c r="R593" s="22" t="n"/>
      <c r="T593" s="22" t="n"/>
    </row>
    <row r="594" ht="15.75" customHeight="1" s="23">
      <c r="L594" s="20" t="n"/>
      <c r="M594" s="21" t="n"/>
      <c r="P594" s="22" t="n"/>
      <c r="R594" s="22" t="n"/>
      <c r="T594" s="22" t="n"/>
    </row>
    <row r="595" ht="15.75" customHeight="1" s="23">
      <c r="L595" s="20" t="n"/>
      <c r="M595" s="21" t="n"/>
      <c r="P595" s="22" t="n"/>
      <c r="R595" s="22" t="n"/>
      <c r="T595" s="22" t="n"/>
    </row>
    <row r="596" ht="15.75" customHeight="1" s="23">
      <c r="L596" s="20" t="n"/>
      <c r="M596" s="21" t="n"/>
      <c r="P596" s="22" t="n"/>
      <c r="R596" s="22" t="n"/>
      <c r="T596" s="22" t="n"/>
    </row>
    <row r="597" ht="15.75" customHeight="1" s="23">
      <c r="L597" s="20" t="n"/>
      <c r="M597" s="21" t="n"/>
      <c r="P597" s="22" t="n"/>
      <c r="R597" s="22" t="n"/>
      <c r="T597" s="22" t="n"/>
    </row>
    <row r="598" ht="15.75" customHeight="1" s="23">
      <c r="L598" s="20" t="n"/>
      <c r="M598" s="21" t="n"/>
      <c r="P598" s="22" t="n"/>
      <c r="R598" s="22" t="n"/>
      <c r="T598" s="22" t="n"/>
    </row>
    <row r="599" ht="15.75" customHeight="1" s="23">
      <c r="L599" s="20" t="n"/>
      <c r="M599" s="21" t="n"/>
      <c r="P599" s="22" t="n"/>
      <c r="R599" s="22" t="n"/>
      <c r="T599" s="22" t="n"/>
    </row>
    <row r="600" ht="15.75" customHeight="1" s="23">
      <c r="L600" s="20" t="n"/>
      <c r="M600" s="21" t="n"/>
      <c r="P600" s="22" t="n"/>
      <c r="R600" s="22" t="n"/>
      <c r="T600" s="22" t="n"/>
    </row>
    <row r="601" ht="15.75" customHeight="1" s="23">
      <c r="L601" s="20" t="n"/>
      <c r="M601" s="21" t="n"/>
      <c r="P601" s="22" t="n"/>
      <c r="R601" s="22" t="n"/>
      <c r="T601" s="22" t="n"/>
    </row>
    <row r="602" ht="15.75" customHeight="1" s="23">
      <c r="L602" s="20" t="n"/>
      <c r="M602" s="21" t="n"/>
      <c r="P602" s="22" t="n"/>
      <c r="R602" s="22" t="n"/>
      <c r="T602" s="22" t="n"/>
    </row>
    <row r="603" ht="15.75" customHeight="1" s="23">
      <c r="L603" s="20" t="n"/>
      <c r="M603" s="21" t="n"/>
      <c r="P603" s="22" t="n"/>
      <c r="R603" s="22" t="n"/>
      <c r="T603" s="22" t="n"/>
    </row>
    <row r="604" ht="15.75" customHeight="1" s="23">
      <c r="L604" s="20" t="n"/>
      <c r="M604" s="21" t="n"/>
      <c r="P604" s="22" t="n"/>
      <c r="R604" s="22" t="n"/>
      <c r="T604" s="22" t="n"/>
    </row>
    <row r="605" ht="15.75" customHeight="1" s="23">
      <c r="L605" s="20" t="n"/>
      <c r="M605" s="21" t="n"/>
      <c r="P605" s="22" t="n"/>
      <c r="R605" s="22" t="n"/>
      <c r="T605" s="22" t="n"/>
    </row>
    <row r="606" ht="15.75" customHeight="1" s="23">
      <c r="L606" s="20" t="n"/>
      <c r="M606" s="21" t="n"/>
      <c r="P606" s="22" t="n"/>
      <c r="R606" s="22" t="n"/>
      <c r="T606" s="22" t="n"/>
    </row>
    <row r="607" ht="15.75" customHeight="1" s="23">
      <c r="L607" s="20" t="n"/>
      <c r="M607" s="21" t="n"/>
      <c r="P607" s="22" t="n"/>
      <c r="R607" s="22" t="n"/>
      <c r="T607" s="22" t="n"/>
    </row>
    <row r="608" ht="15.75" customHeight="1" s="23">
      <c r="L608" s="20" t="n"/>
      <c r="M608" s="21" t="n"/>
      <c r="P608" s="22" t="n"/>
      <c r="R608" s="22" t="n"/>
      <c r="T608" s="22" t="n"/>
    </row>
    <row r="609" ht="15.75" customHeight="1" s="23">
      <c r="L609" s="20" t="n"/>
      <c r="M609" s="21" t="n"/>
      <c r="P609" s="22" t="n"/>
      <c r="R609" s="22" t="n"/>
      <c r="T609" s="22" t="n"/>
    </row>
    <row r="610" ht="15.75" customHeight="1" s="23">
      <c r="L610" s="20" t="n"/>
      <c r="M610" s="21" t="n"/>
      <c r="P610" s="22" t="n"/>
      <c r="R610" s="22" t="n"/>
      <c r="T610" s="22" t="n"/>
    </row>
    <row r="611" ht="15.75" customHeight="1" s="23">
      <c r="L611" s="20" t="n"/>
      <c r="M611" s="21" t="n"/>
      <c r="P611" s="22" t="n"/>
      <c r="R611" s="22" t="n"/>
      <c r="T611" s="22" t="n"/>
    </row>
    <row r="612" ht="15.75" customHeight="1" s="23">
      <c r="L612" s="20" t="n"/>
      <c r="M612" s="21" t="n"/>
      <c r="P612" s="22" t="n"/>
      <c r="R612" s="22" t="n"/>
      <c r="T612" s="22" t="n"/>
    </row>
    <row r="613" ht="15.75" customHeight="1" s="23">
      <c r="L613" s="20" t="n"/>
      <c r="M613" s="21" t="n"/>
      <c r="P613" s="22" t="n"/>
      <c r="R613" s="22" t="n"/>
      <c r="T613" s="22" t="n"/>
    </row>
    <row r="614" ht="15.75" customHeight="1" s="23">
      <c r="L614" s="20" t="n"/>
      <c r="M614" s="21" t="n"/>
      <c r="P614" s="22" t="n"/>
      <c r="R614" s="22" t="n"/>
      <c r="T614" s="22" t="n"/>
    </row>
    <row r="615" ht="15.75" customHeight="1" s="23">
      <c r="L615" s="20" t="n"/>
      <c r="M615" s="21" t="n"/>
      <c r="P615" s="22" t="n"/>
      <c r="R615" s="22" t="n"/>
      <c r="T615" s="22" t="n"/>
    </row>
    <row r="616" ht="15.75" customHeight="1" s="23">
      <c r="L616" s="20" t="n"/>
      <c r="M616" s="21" t="n"/>
      <c r="P616" s="22" t="n"/>
      <c r="R616" s="22" t="n"/>
      <c r="T616" s="22" t="n"/>
    </row>
    <row r="617" ht="15.75" customHeight="1" s="23">
      <c r="L617" s="20" t="n"/>
      <c r="M617" s="21" t="n"/>
      <c r="P617" s="22" t="n"/>
      <c r="R617" s="22" t="n"/>
      <c r="T617" s="22" t="n"/>
    </row>
    <row r="618" ht="15.75" customHeight="1" s="23">
      <c r="L618" s="20" t="n"/>
      <c r="M618" s="21" t="n"/>
      <c r="P618" s="22" t="n"/>
      <c r="R618" s="22" t="n"/>
      <c r="T618" s="22" t="n"/>
    </row>
    <row r="619" ht="15.75" customHeight="1" s="23">
      <c r="L619" s="20" t="n"/>
      <c r="M619" s="21" t="n"/>
      <c r="P619" s="22" t="n"/>
      <c r="R619" s="22" t="n"/>
      <c r="T619" s="22" t="n"/>
    </row>
    <row r="620" ht="15.75" customHeight="1" s="23">
      <c r="L620" s="20" t="n"/>
      <c r="M620" s="21" t="n"/>
      <c r="P620" s="22" t="n"/>
      <c r="R620" s="22" t="n"/>
      <c r="T620" s="22" t="n"/>
    </row>
    <row r="621" ht="15.75" customHeight="1" s="23">
      <c r="L621" s="20" t="n"/>
      <c r="M621" s="21" t="n"/>
      <c r="P621" s="22" t="n"/>
      <c r="R621" s="22" t="n"/>
      <c r="T621" s="22" t="n"/>
    </row>
    <row r="622" ht="15.75" customHeight="1" s="23">
      <c r="L622" s="20" t="n"/>
      <c r="M622" s="21" t="n"/>
      <c r="P622" s="22" t="n"/>
      <c r="R622" s="22" t="n"/>
      <c r="T622" s="22" t="n"/>
    </row>
    <row r="623" ht="15.75" customHeight="1" s="23">
      <c r="L623" s="20" t="n"/>
      <c r="M623" s="21" t="n"/>
      <c r="P623" s="22" t="n"/>
      <c r="R623" s="22" t="n"/>
      <c r="T623" s="22" t="n"/>
    </row>
    <row r="624" ht="15.75" customHeight="1" s="23">
      <c r="L624" s="20" t="n"/>
      <c r="M624" s="21" t="n"/>
      <c r="P624" s="22" t="n"/>
      <c r="R624" s="22" t="n"/>
      <c r="T624" s="22" t="n"/>
    </row>
    <row r="625" ht="15.75" customHeight="1" s="23">
      <c r="L625" s="20" t="n"/>
      <c r="M625" s="21" t="n"/>
      <c r="P625" s="22" t="n"/>
      <c r="R625" s="22" t="n"/>
      <c r="T625" s="22" t="n"/>
    </row>
    <row r="626" ht="15.75" customHeight="1" s="23">
      <c r="L626" s="20" t="n"/>
      <c r="M626" s="21" t="n"/>
      <c r="P626" s="22" t="n"/>
      <c r="R626" s="22" t="n"/>
      <c r="T626" s="22" t="n"/>
    </row>
    <row r="627" ht="15.75" customHeight="1" s="23">
      <c r="L627" s="20" t="n"/>
      <c r="M627" s="21" t="n"/>
      <c r="P627" s="22" t="n"/>
      <c r="R627" s="22" t="n"/>
      <c r="T627" s="22" t="n"/>
    </row>
    <row r="628" ht="15.75" customHeight="1" s="23">
      <c r="L628" s="20" t="n"/>
      <c r="M628" s="21" t="n"/>
      <c r="P628" s="22" t="n"/>
      <c r="R628" s="22" t="n"/>
      <c r="T628" s="22" t="n"/>
    </row>
    <row r="629" ht="15.75" customHeight="1" s="23">
      <c r="L629" s="20" t="n"/>
      <c r="M629" s="21" t="n"/>
      <c r="P629" s="22" t="n"/>
      <c r="R629" s="22" t="n"/>
      <c r="T629" s="22" t="n"/>
    </row>
    <row r="630" ht="15.75" customHeight="1" s="23">
      <c r="L630" s="20" t="n"/>
      <c r="M630" s="21" t="n"/>
      <c r="P630" s="22" t="n"/>
      <c r="R630" s="22" t="n"/>
      <c r="T630" s="22" t="n"/>
    </row>
    <row r="631" ht="15.75" customHeight="1" s="23">
      <c r="L631" s="20" t="n"/>
      <c r="M631" s="21" t="n"/>
      <c r="P631" s="22" t="n"/>
      <c r="R631" s="22" t="n"/>
      <c r="T631" s="22" t="n"/>
    </row>
    <row r="632" ht="15.75" customHeight="1" s="23">
      <c r="L632" s="20" t="n"/>
      <c r="M632" s="21" t="n"/>
      <c r="P632" s="22" t="n"/>
      <c r="R632" s="22" t="n"/>
      <c r="T632" s="22" t="n"/>
    </row>
    <row r="633" ht="15.75" customHeight="1" s="23">
      <c r="L633" s="20" t="n"/>
      <c r="M633" s="21" t="n"/>
      <c r="P633" s="22" t="n"/>
      <c r="R633" s="22" t="n"/>
      <c r="T633" s="22" t="n"/>
    </row>
    <row r="634" ht="15.75" customHeight="1" s="23">
      <c r="L634" s="20" t="n"/>
      <c r="M634" s="21" t="n"/>
      <c r="P634" s="22" t="n"/>
      <c r="R634" s="22" t="n"/>
      <c r="T634" s="22" t="n"/>
    </row>
    <row r="635" ht="15.75" customHeight="1" s="23">
      <c r="L635" s="20" t="n"/>
      <c r="M635" s="21" t="n"/>
      <c r="P635" s="22" t="n"/>
      <c r="R635" s="22" t="n"/>
      <c r="T635" s="22" t="n"/>
    </row>
    <row r="636" ht="15.75" customHeight="1" s="23">
      <c r="L636" s="20" t="n"/>
      <c r="M636" s="21" t="n"/>
      <c r="P636" s="22" t="n"/>
      <c r="R636" s="22" t="n"/>
      <c r="T636" s="22" t="n"/>
    </row>
    <row r="637" ht="15.75" customHeight="1" s="23">
      <c r="L637" s="20" t="n"/>
      <c r="M637" s="21" t="n"/>
      <c r="P637" s="22" t="n"/>
      <c r="R637" s="22" t="n"/>
      <c r="T637" s="22" t="n"/>
    </row>
    <row r="638" ht="15.75" customHeight="1" s="23">
      <c r="L638" s="20" t="n"/>
      <c r="M638" s="21" t="n"/>
      <c r="P638" s="22" t="n"/>
      <c r="R638" s="22" t="n"/>
      <c r="T638" s="22" t="n"/>
    </row>
    <row r="639" ht="15.75" customHeight="1" s="23">
      <c r="L639" s="20" t="n"/>
      <c r="M639" s="21" t="n"/>
      <c r="P639" s="22" t="n"/>
      <c r="R639" s="22" t="n"/>
      <c r="T639" s="22" t="n"/>
    </row>
    <row r="640" ht="15.75" customHeight="1" s="23">
      <c r="L640" s="20" t="n"/>
      <c r="M640" s="21" t="n"/>
      <c r="P640" s="22" t="n"/>
      <c r="R640" s="22" t="n"/>
      <c r="T640" s="22" t="n"/>
    </row>
    <row r="641" ht="15.75" customHeight="1" s="23">
      <c r="L641" s="20" t="n"/>
      <c r="M641" s="21" t="n"/>
      <c r="P641" s="22" t="n"/>
      <c r="R641" s="22" t="n"/>
      <c r="T641" s="22" t="n"/>
    </row>
    <row r="642" ht="15.75" customHeight="1" s="23">
      <c r="L642" s="20" t="n"/>
      <c r="M642" s="21" t="n"/>
      <c r="P642" s="22" t="n"/>
      <c r="R642" s="22" t="n"/>
      <c r="T642" s="22" t="n"/>
    </row>
    <row r="643" ht="15.75" customHeight="1" s="23">
      <c r="L643" s="20" t="n"/>
      <c r="M643" s="21" t="n"/>
      <c r="P643" s="22" t="n"/>
      <c r="R643" s="22" t="n"/>
      <c r="T643" s="22" t="n"/>
    </row>
    <row r="644" ht="15.75" customHeight="1" s="23">
      <c r="L644" s="20" t="n"/>
      <c r="M644" s="21" t="n"/>
      <c r="P644" s="22" t="n"/>
      <c r="R644" s="22" t="n"/>
      <c r="T644" s="22" t="n"/>
    </row>
    <row r="645" ht="15.75" customHeight="1" s="23">
      <c r="L645" s="20" t="n"/>
      <c r="M645" s="21" t="n"/>
      <c r="P645" s="22" t="n"/>
      <c r="R645" s="22" t="n"/>
      <c r="T645" s="22" t="n"/>
    </row>
    <row r="646" ht="15.75" customHeight="1" s="23">
      <c r="L646" s="20" t="n"/>
      <c r="M646" s="21" t="n"/>
      <c r="P646" s="22" t="n"/>
      <c r="R646" s="22" t="n"/>
      <c r="T646" s="22" t="n"/>
    </row>
    <row r="647" ht="15.75" customHeight="1" s="23">
      <c r="L647" s="20" t="n"/>
      <c r="M647" s="21" t="n"/>
      <c r="P647" s="22" t="n"/>
      <c r="R647" s="22" t="n"/>
      <c r="T647" s="22" t="n"/>
    </row>
    <row r="648" ht="15.75" customHeight="1" s="23">
      <c r="L648" s="20" t="n"/>
      <c r="M648" s="21" t="n"/>
      <c r="P648" s="22" t="n"/>
      <c r="R648" s="22" t="n"/>
      <c r="T648" s="22" t="n"/>
    </row>
    <row r="649" ht="15.75" customHeight="1" s="23">
      <c r="L649" s="20" t="n"/>
      <c r="M649" s="21" t="n"/>
      <c r="P649" s="22" t="n"/>
      <c r="R649" s="22" t="n"/>
      <c r="T649" s="22" t="n"/>
    </row>
    <row r="650" ht="15.75" customHeight="1" s="23">
      <c r="L650" s="20" t="n"/>
      <c r="M650" s="21" t="n"/>
      <c r="P650" s="22" t="n"/>
      <c r="R650" s="22" t="n"/>
      <c r="T650" s="22" t="n"/>
    </row>
    <row r="651" ht="15.75" customHeight="1" s="23">
      <c r="L651" s="20" t="n"/>
      <c r="M651" s="21" t="n"/>
      <c r="P651" s="22" t="n"/>
      <c r="R651" s="22" t="n"/>
      <c r="T651" s="22" t="n"/>
    </row>
    <row r="652" ht="15.75" customHeight="1" s="23">
      <c r="L652" s="20" t="n"/>
      <c r="M652" s="21" t="n"/>
      <c r="P652" s="22" t="n"/>
      <c r="R652" s="22" t="n"/>
      <c r="T652" s="22" t="n"/>
    </row>
    <row r="653" ht="15.75" customHeight="1" s="23">
      <c r="L653" s="20" t="n"/>
      <c r="M653" s="21" t="n"/>
      <c r="P653" s="22" t="n"/>
      <c r="R653" s="22" t="n"/>
      <c r="T653" s="22" t="n"/>
    </row>
    <row r="654" ht="15.75" customHeight="1" s="23">
      <c r="L654" s="20" t="n"/>
      <c r="M654" s="21" t="n"/>
      <c r="P654" s="22" t="n"/>
      <c r="R654" s="22" t="n"/>
      <c r="T654" s="22" t="n"/>
    </row>
    <row r="655" ht="15.75" customHeight="1" s="23">
      <c r="L655" s="20" t="n"/>
      <c r="M655" s="21" t="n"/>
      <c r="P655" s="22" t="n"/>
      <c r="R655" s="22" t="n"/>
      <c r="T655" s="22" t="n"/>
    </row>
    <row r="656" ht="15.75" customHeight="1" s="23">
      <c r="L656" s="20" t="n"/>
      <c r="M656" s="21" t="n"/>
      <c r="P656" s="22" t="n"/>
      <c r="R656" s="22" t="n"/>
      <c r="T656" s="22" t="n"/>
    </row>
    <row r="657" ht="15.75" customHeight="1" s="23">
      <c r="L657" s="20" t="n"/>
      <c r="M657" s="21" t="n"/>
      <c r="P657" s="22" t="n"/>
      <c r="R657" s="22" t="n"/>
      <c r="T657" s="22" t="n"/>
    </row>
    <row r="658" ht="15.75" customHeight="1" s="23">
      <c r="L658" s="20" t="n"/>
      <c r="M658" s="21" t="n"/>
      <c r="P658" s="22" t="n"/>
      <c r="R658" s="22" t="n"/>
      <c r="T658" s="22" t="n"/>
    </row>
    <row r="659" ht="15.75" customHeight="1" s="23">
      <c r="L659" s="20" t="n"/>
      <c r="M659" s="21" t="n"/>
      <c r="P659" s="22" t="n"/>
      <c r="R659" s="22" t="n"/>
      <c r="T659" s="22" t="n"/>
    </row>
    <row r="660" ht="15.75" customHeight="1" s="23">
      <c r="L660" s="20" t="n"/>
      <c r="M660" s="21" t="n"/>
      <c r="P660" s="22" t="n"/>
      <c r="R660" s="22" t="n"/>
      <c r="T660" s="22" t="n"/>
    </row>
    <row r="661" ht="15.75" customHeight="1" s="23">
      <c r="L661" s="20" t="n"/>
      <c r="M661" s="21" t="n"/>
      <c r="P661" s="22" t="n"/>
      <c r="R661" s="22" t="n"/>
      <c r="T661" s="22" t="n"/>
    </row>
    <row r="662" ht="15.75" customHeight="1" s="23">
      <c r="L662" s="20" t="n"/>
      <c r="M662" s="21" t="n"/>
      <c r="P662" s="22" t="n"/>
      <c r="R662" s="22" t="n"/>
      <c r="T662" s="22" t="n"/>
    </row>
    <row r="663" ht="15.75" customHeight="1" s="23">
      <c r="L663" s="20" t="n"/>
      <c r="M663" s="21" t="n"/>
      <c r="P663" s="22" t="n"/>
      <c r="R663" s="22" t="n"/>
      <c r="T663" s="22" t="n"/>
    </row>
    <row r="664" ht="15.75" customHeight="1" s="23">
      <c r="L664" s="20" t="n"/>
      <c r="M664" s="21" t="n"/>
      <c r="P664" s="22" t="n"/>
      <c r="R664" s="22" t="n"/>
      <c r="T664" s="22" t="n"/>
    </row>
    <row r="665" ht="15.75" customHeight="1" s="23">
      <c r="L665" s="20" t="n"/>
      <c r="M665" s="21" t="n"/>
      <c r="P665" s="22" t="n"/>
      <c r="R665" s="22" t="n"/>
      <c r="T665" s="22" t="n"/>
    </row>
    <row r="666" ht="15.75" customHeight="1" s="23">
      <c r="L666" s="20" t="n"/>
      <c r="M666" s="21" t="n"/>
      <c r="P666" s="22" t="n"/>
      <c r="R666" s="22" t="n"/>
      <c r="T666" s="22" t="n"/>
    </row>
    <row r="667" ht="15.75" customHeight="1" s="23">
      <c r="L667" s="20" t="n"/>
      <c r="M667" s="21" t="n"/>
      <c r="P667" s="22" t="n"/>
      <c r="R667" s="22" t="n"/>
      <c r="T667" s="22" t="n"/>
    </row>
    <row r="668" ht="15.75" customHeight="1" s="23">
      <c r="L668" s="20" t="n"/>
      <c r="M668" s="21" t="n"/>
      <c r="P668" s="22" t="n"/>
      <c r="R668" s="22" t="n"/>
      <c r="T668" s="22" t="n"/>
    </row>
    <row r="669" ht="15.75" customHeight="1" s="23">
      <c r="L669" s="20" t="n"/>
      <c r="M669" s="21" t="n"/>
      <c r="P669" s="22" t="n"/>
      <c r="R669" s="22" t="n"/>
      <c r="T669" s="22" t="n"/>
    </row>
    <row r="670" ht="15.75" customHeight="1" s="23">
      <c r="L670" s="20" t="n"/>
      <c r="M670" s="21" t="n"/>
      <c r="P670" s="22" t="n"/>
      <c r="R670" s="22" t="n"/>
      <c r="T670" s="22" t="n"/>
    </row>
    <row r="671" ht="15.75" customHeight="1" s="23">
      <c r="L671" s="20" t="n"/>
      <c r="M671" s="21" t="n"/>
      <c r="P671" s="22" t="n"/>
      <c r="R671" s="22" t="n"/>
      <c r="T671" s="22" t="n"/>
    </row>
    <row r="672" ht="15.75" customHeight="1" s="23">
      <c r="L672" s="20" t="n"/>
      <c r="M672" s="21" t="n"/>
      <c r="P672" s="22" t="n"/>
      <c r="R672" s="22" t="n"/>
      <c r="T672" s="22" t="n"/>
    </row>
    <row r="673" ht="15.75" customHeight="1" s="23">
      <c r="L673" s="20" t="n"/>
      <c r="M673" s="21" t="n"/>
      <c r="P673" s="22" t="n"/>
      <c r="R673" s="22" t="n"/>
      <c r="T673" s="22" t="n"/>
    </row>
    <row r="674" ht="15.75" customHeight="1" s="23">
      <c r="L674" s="20" t="n"/>
      <c r="M674" s="21" t="n"/>
      <c r="P674" s="22" t="n"/>
      <c r="R674" s="22" t="n"/>
      <c r="T674" s="22" t="n"/>
    </row>
    <row r="675" ht="15.75" customHeight="1" s="23">
      <c r="L675" s="20" t="n"/>
      <c r="M675" s="21" t="n"/>
      <c r="P675" s="22" t="n"/>
      <c r="R675" s="22" t="n"/>
      <c r="T675" s="22" t="n"/>
    </row>
    <row r="676" ht="15.75" customHeight="1" s="23">
      <c r="L676" s="20" t="n"/>
      <c r="M676" s="21" t="n"/>
      <c r="P676" s="22" t="n"/>
      <c r="R676" s="22" t="n"/>
      <c r="T676" s="22" t="n"/>
    </row>
    <row r="677" ht="15.75" customHeight="1" s="23">
      <c r="L677" s="20" t="n"/>
      <c r="M677" s="21" t="n"/>
      <c r="P677" s="22" t="n"/>
      <c r="R677" s="22" t="n"/>
      <c r="T677" s="22" t="n"/>
    </row>
    <row r="678" ht="15.75" customHeight="1" s="23">
      <c r="L678" s="20" t="n"/>
      <c r="M678" s="21" t="n"/>
      <c r="P678" s="22" t="n"/>
      <c r="R678" s="22" t="n"/>
      <c r="T678" s="22" t="n"/>
    </row>
    <row r="679" ht="15.75" customHeight="1" s="23">
      <c r="L679" s="20" t="n"/>
      <c r="M679" s="21" t="n"/>
      <c r="P679" s="22" t="n"/>
      <c r="R679" s="22" t="n"/>
      <c r="T679" s="22" t="n"/>
    </row>
    <row r="680" ht="15.75" customHeight="1" s="23">
      <c r="L680" s="20" t="n"/>
      <c r="M680" s="21" t="n"/>
      <c r="P680" s="22" t="n"/>
      <c r="R680" s="22" t="n"/>
      <c r="T680" s="22" t="n"/>
    </row>
    <row r="681" ht="15.75" customHeight="1" s="23">
      <c r="L681" s="20" t="n"/>
      <c r="M681" s="21" t="n"/>
      <c r="P681" s="22" t="n"/>
      <c r="R681" s="22" t="n"/>
      <c r="T681" s="22" t="n"/>
    </row>
    <row r="682" ht="15.75" customHeight="1" s="23">
      <c r="L682" s="20" t="n"/>
      <c r="M682" s="21" t="n"/>
      <c r="P682" s="22" t="n"/>
      <c r="R682" s="22" t="n"/>
      <c r="T682" s="22" t="n"/>
    </row>
    <row r="683" ht="15.75" customHeight="1" s="23">
      <c r="L683" s="20" t="n"/>
      <c r="M683" s="21" t="n"/>
      <c r="P683" s="22" t="n"/>
      <c r="R683" s="22" t="n"/>
      <c r="T683" s="22" t="n"/>
    </row>
    <row r="684" ht="15.75" customHeight="1" s="23">
      <c r="L684" s="20" t="n"/>
      <c r="M684" s="21" t="n"/>
      <c r="P684" s="22" t="n"/>
      <c r="R684" s="22" t="n"/>
      <c r="T684" s="22" t="n"/>
    </row>
    <row r="685" ht="15.75" customHeight="1" s="23">
      <c r="L685" s="20" t="n"/>
      <c r="M685" s="21" t="n"/>
      <c r="P685" s="22" t="n"/>
      <c r="R685" s="22" t="n"/>
      <c r="T685" s="22" t="n"/>
    </row>
    <row r="686" ht="15.75" customHeight="1" s="23">
      <c r="L686" s="20" t="n"/>
      <c r="M686" s="21" t="n"/>
      <c r="P686" s="22" t="n"/>
      <c r="R686" s="22" t="n"/>
      <c r="T686" s="22" t="n"/>
    </row>
    <row r="687" ht="15.75" customHeight="1" s="23">
      <c r="L687" s="20" t="n"/>
      <c r="M687" s="21" t="n"/>
      <c r="P687" s="22" t="n"/>
      <c r="R687" s="22" t="n"/>
      <c r="T687" s="22" t="n"/>
    </row>
    <row r="688" ht="15.75" customHeight="1" s="23">
      <c r="L688" s="20" t="n"/>
      <c r="M688" s="21" t="n"/>
      <c r="P688" s="22" t="n"/>
      <c r="R688" s="22" t="n"/>
      <c r="T688" s="22" t="n"/>
    </row>
    <row r="689" ht="15.75" customHeight="1" s="23">
      <c r="L689" s="20" t="n"/>
      <c r="M689" s="21" t="n"/>
      <c r="P689" s="22" t="n"/>
      <c r="R689" s="22" t="n"/>
      <c r="T689" s="22" t="n"/>
    </row>
    <row r="690" ht="15.75" customHeight="1" s="23">
      <c r="L690" s="20" t="n"/>
      <c r="M690" s="21" t="n"/>
      <c r="P690" s="22" t="n"/>
      <c r="R690" s="22" t="n"/>
      <c r="T690" s="22" t="n"/>
    </row>
    <row r="691" ht="15.75" customHeight="1" s="23">
      <c r="L691" s="20" t="n"/>
      <c r="M691" s="21" t="n"/>
      <c r="P691" s="22" t="n"/>
      <c r="R691" s="22" t="n"/>
      <c r="T691" s="22" t="n"/>
    </row>
    <row r="692" ht="15.75" customHeight="1" s="23">
      <c r="L692" s="20" t="n"/>
      <c r="M692" s="21" t="n"/>
      <c r="P692" s="22" t="n"/>
      <c r="R692" s="22" t="n"/>
      <c r="T692" s="22" t="n"/>
    </row>
    <row r="693" ht="15.75" customHeight="1" s="23">
      <c r="L693" s="20" t="n"/>
      <c r="M693" s="21" t="n"/>
      <c r="P693" s="22" t="n"/>
      <c r="R693" s="22" t="n"/>
      <c r="T693" s="22" t="n"/>
    </row>
    <row r="694" ht="15.75" customHeight="1" s="23">
      <c r="L694" s="20" t="n"/>
      <c r="M694" s="21" t="n"/>
      <c r="P694" s="22" t="n"/>
      <c r="R694" s="22" t="n"/>
      <c r="T694" s="22" t="n"/>
    </row>
    <row r="695" ht="15.75" customHeight="1" s="23">
      <c r="L695" s="20" t="n"/>
      <c r="M695" s="21" t="n"/>
      <c r="P695" s="22" t="n"/>
      <c r="R695" s="22" t="n"/>
      <c r="T695" s="22" t="n"/>
    </row>
    <row r="696" ht="15.75" customHeight="1" s="23">
      <c r="L696" s="20" t="n"/>
      <c r="M696" s="21" t="n"/>
      <c r="P696" s="22" t="n"/>
      <c r="R696" s="22" t="n"/>
      <c r="T696" s="22" t="n"/>
    </row>
    <row r="697" ht="15.75" customHeight="1" s="23">
      <c r="L697" s="20" t="n"/>
      <c r="M697" s="21" t="n"/>
      <c r="P697" s="22" t="n"/>
      <c r="R697" s="22" t="n"/>
      <c r="T697" s="22" t="n"/>
    </row>
    <row r="698" ht="15.75" customHeight="1" s="23">
      <c r="L698" s="20" t="n"/>
      <c r="M698" s="21" t="n"/>
      <c r="P698" s="22" t="n"/>
      <c r="R698" s="22" t="n"/>
      <c r="T698" s="22" t="n"/>
    </row>
    <row r="699" ht="15.75" customHeight="1" s="23">
      <c r="L699" s="20" t="n"/>
      <c r="M699" s="21" t="n"/>
      <c r="P699" s="22" t="n"/>
      <c r="R699" s="22" t="n"/>
      <c r="T699" s="22" t="n"/>
    </row>
    <row r="700" ht="15.75" customHeight="1" s="23">
      <c r="L700" s="20" t="n"/>
      <c r="M700" s="21" t="n"/>
      <c r="P700" s="22" t="n"/>
      <c r="R700" s="22" t="n"/>
      <c r="T700" s="22" t="n"/>
    </row>
    <row r="701" ht="15.75" customHeight="1" s="23">
      <c r="L701" s="20" t="n"/>
      <c r="M701" s="21" t="n"/>
      <c r="P701" s="22" t="n"/>
      <c r="R701" s="22" t="n"/>
      <c r="T701" s="22" t="n"/>
    </row>
    <row r="702" ht="15.75" customHeight="1" s="23">
      <c r="L702" s="20" t="n"/>
      <c r="M702" s="21" t="n"/>
      <c r="P702" s="22" t="n"/>
      <c r="R702" s="22" t="n"/>
      <c r="T702" s="22" t="n"/>
    </row>
    <row r="703" ht="15.75" customHeight="1" s="23">
      <c r="L703" s="20" t="n"/>
      <c r="M703" s="21" t="n"/>
      <c r="P703" s="22" t="n"/>
      <c r="R703" s="22" t="n"/>
      <c r="T703" s="22" t="n"/>
    </row>
    <row r="704" ht="15.75" customHeight="1" s="23">
      <c r="L704" s="20" t="n"/>
      <c r="M704" s="21" t="n"/>
      <c r="P704" s="22" t="n"/>
      <c r="R704" s="22" t="n"/>
      <c r="T704" s="22" t="n"/>
    </row>
    <row r="705" ht="15.75" customHeight="1" s="23">
      <c r="L705" s="20" t="n"/>
      <c r="M705" s="21" t="n"/>
      <c r="P705" s="22" t="n"/>
      <c r="R705" s="22" t="n"/>
      <c r="T705" s="22" t="n"/>
    </row>
    <row r="706" ht="15.75" customHeight="1" s="23">
      <c r="L706" s="20" t="n"/>
      <c r="M706" s="21" t="n"/>
      <c r="P706" s="22" t="n"/>
      <c r="R706" s="22" t="n"/>
      <c r="T706" s="22" t="n"/>
    </row>
    <row r="707" ht="15.75" customHeight="1" s="23">
      <c r="L707" s="20" t="n"/>
      <c r="M707" s="21" t="n"/>
      <c r="P707" s="22" t="n"/>
      <c r="R707" s="22" t="n"/>
      <c r="T707" s="22" t="n"/>
    </row>
    <row r="708" ht="15.75" customHeight="1" s="23">
      <c r="L708" s="20" t="n"/>
      <c r="M708" s="21" t="n"/>
      <c r="P708" s="22" t="n"/>
      <c r="R708" s="22" t="n"/>
      <c r="T708" s="22" t="n"/>
    </row>
    <row r="709" ht="15.75" customHeight="1" s="23">
      <c r="L709" s="20" t="n"/>
      <c r="M709" s="21" t="n"/>
      <c r="P709" s="22" t="n"/>
      <c r="R709" s="22" t="n"/>
      <c r="T709" s="22" t="n"/>
    </row>
    <row r="710" ht="15.75" customHeight="1" s="23">
      <c r="L710" s="20" t="n"/>
      <c r="M710" s="21" t="n"/>
      <c r="P710" s="22" t="n"/>
      <c r="R710" s="22" t="n"/>
      <c r="T710" s="22" t="n"/>
    </row>
    <row r="711" ht="15.75" customHeight="1" s="23">
      <c r="L711" s="20" t="n"/>
      <c r="M711" s="21" t="n"/>
      <c r="P711" s="22" t="n"/>
      <c r="R711" s="22" t="n"/>
      <c r="T711" s="22" t="n"/>
    </row>
    <row r="712" ht="15.75" customHeight="1" s="23">
      <c r="L712" s="20" t="n"/>
      <c r="M712" s="21" t="n"/>
      <c r="P712" s="22" t="n"/>
      <c r="R712" s="22" t="n"/>
      <c r="T712" s="22" t="n"/>
    </row>
    <row r="713" ht="15.75" customHeight="1" s="23">
      <c r="L713" s="20" t="n"/>
      <c r="M713" s="21" t="n"/>
      <c r="P713" s="22" t="n"/>
      <c r="R713" s="22" t="n"/>
      <c r="T713" s="22" t="n"/>
    </row>
    <row r="714" ht="15.75" customHeight="1" s="23">
      <c r="L714" s="20" t="n"/>
      <c r="M714" s="21" t="n"/>
      <c r="P714" s="22" t="n"/>
      <c r="R714" s="22" t="n"/>
      <c r="T714" s="22" t="n"/>
    </row>
    <row r="715" ht="15.75" customHeight="1" s="23">
      <c r="L715" s="20" t="n"/>
      <c r="M715" s="21" t="n"/>
      <c r="P715" s="22" t="n"/>
      <c r="R715" s="22" t="n"/>
      <c r="T715" s="22" t="n"/>
    </row>
    <row r="716" ht="15.75" customHeight="1" s="23">
      <c r="L716" s="20" t="n"/>
      <c r="M716" s="21" t="n"/>
      <c r="P716" s="22" t="n"/>
      <c r="R716" s="22" t="n"/>
      <c r="T716" s="22" t="n"/>
    </row>
    <row r="717" ht="15.75" customHeight="1" s="23">
      <c r="L717" s="20" t="n"/>
      <c r="M717" s="21" t="n"/>
      <c r="P717" s="22" t="n"/>
      <c r="R717" s="22" t="n"/>
      <c r="T717" s="22" t="n"/>
    </row>
    <row r="718" ht="15.75" customHeight="1" s="23">
      <c r="L718" s="20" t="n"/>
      <c r="M718" s="21" t="n"/>
      <c r="P718" s="22" t="n"/>
      <c r="R718" s="22" t="n"/>
      <c r="T718" s="22" t="n"/>
    </row>
    <row r="719" ht="15.75" customHeight="1" s="23">
      <c r="L719" s="20" t="n"/>
      <c r="M719" s="21" t="n"/>
      <c r="P719" s="22" t="n"/>
      <c r="R719" s="22" t="n"/>
      <c r="T719" s="22" t="n"/>
    </row>
    <row r="720" ht="15.75" customHeight="1" s="23">
      <c r="L720" s="20" t="n"/>
      <c r="M720" s="21" t="n"/>
      <c r="P720" s="22" t="n"/>
      <c r="R720" s="22" t="n"/>
      <c r="T720" s="22" t="n"/>
    </row>
    <row r="721" ht="15.75" customHeight="1" s="23">
      <c r="L721" s="20" t="n"/>
      <c r="M721" s="21" t="n"/>
      <c r="P721" s="22" t="n"/>
      <c r="R721" s="22" t="n"/>
      <c r="T721" s="22" t="n"/>
    </row>
    <row r="722" ht="15.75" customHeight="1" s="23">
      <c r="L722" s="20" t="n"/>
      <c r="M722" s="21" t="n"/>
      <c r="P722" s="22" t="n"/>
      <c r="R722" s="22" t="n"/>
      <c r="T722" s="22" t="n"/>
    </row>
    <row r="723" ht="15.75" customHeight="1" s="23">
      <c r="L723" s="20" t="n"/>
      <c r="M723" s="21" t="n"/>
      <c r="P723" s="22" t="n"/>
      <c r="R723" s="22" t="n"/>
      <c r="T723" s="22" t="n"/>
    </row>
    <row r="724" ht="15.75" customHeight="1" s="23">
      <c r="L724" s="20" t="n"/>
      <c r="M724" s="21" t="n"/>
      <c r="P724" s="22" t="n"/>
      <c r="R724" s="22" t="n"/>
      <c r="T724" s="22" t="n"/>
    </row>
    <row r="725" ht="15.75" customHeight="1" s="23">
      <c r="L725" s="20" t="n"/>
      <c r="M725" s="21" t="n"/>
      <c r="P725" s="22" t="n"/>
      <c r="R725" s="22" t="n"/>
      <c r="T725" s="22" t="n"/>
    </row>
    <row r="726" ht="15.75" customHeight="1" s="23">
      <c r="L726" s="20" t="n"/>
      <c r="M726" s="21" t="n"/>
      <c r="P726" s="22" t="n"/>
      <c r="R726" s="22" t="n"/>
      <c r="T726" s="22" t="n"/>
    </row>
    <row r="727" ht="15.75" customHeight="1" s="23">
      <c r="L727" s="20" t="n"/>
      <c r="M727" s="21" t="n"/>
      <c r="P727" s="22" t="n"/>
      <c r="R727" s="22" t="n"/>
      <c r="T727" s="22" t="n"/>
    </row>
    <row r="728" ht="15.75" customHeight="1" s="23">
      <c r="L728" s="20" t="n"/>
      <c r="M728" s="21" t="n"/>
      <c r="P728" s="22" t="n"/>
      <c r="R728" s="22" t="n"/>
      <c r="T728" s="22" t="n"/>
    </row>
    <row r="729" ht="15.75" customHeight="1" s="23">
      <c r="L729" s="20" t="n"/>
      <c r="M729" s="21" t="n"/>
      <c r="P729" s="22" t="n"/>
      <c r="R729" s="22" t="n"/>
      <c r="T729" s="22" t="n"/>
    </row>
    <row r="730" ht="15.75" customHeight="1" s="23">
      <c r="L730" s="20" t="n"/>
      <c r="M730" s="21" t="n"/>
      <c r="P730" s="22" t="n"/>
      <c r="R730" s="22" t="n"/>
      <c r="T730" s="22" t="n"/>
    </row>
    <row r="731" ht="15.75" customHeight="1" s="23">
      <c r="L731" s="20" t="n"/>
      <c r="M731" s="21" t="n"/>
      <c r="P731" s="22" t="n"/>
      <c r="R731" s="22" t="n"/>
      <c r="T731" s="22" t="n"/>
    </row>
    <row r="732" ht="15.75" customHeight="1" s="23">
      <c r="L732" s="20" t="n"/>
      <c r="M732" s="21" t="n"/>
      <c r="P732" s="22" t="n"/>
      <c r="R732" s="22" t="n"/>
      <c r="T732" s="22" t="n"/>
    </row>
    <row r="733" ht="15.75" customHeight="1" s="23">
      <c r="L733" s="20" t="n"/>
      <c r="M733" s="21" t="n"/>
      <c r="P733" s="22" t="n"/>
      <c r="R733" s="22" t="n"/>
      <c r="T733" s="22" t="n"/>
    </row>
    <row r="734" ht="15.75" customHeight="1" s="23">
      <c r="L734" s="20" t="n"/>
      <c r="M734" s="21" t="n"/>
      <c r="P734" s="22" t="n"/>
      <c r="R734" s="22" t="n"/>
      <c r="T734" s="22" t="n"/>
    </row>
    <row r="735" ht="15.75" customHeight="1" s="23">
      <c r="L735" s="20" t="n"/>
      <c r="M735" s="21" t="n"/>
      <c r="P735" s="22" t="n"/>
      <c r="R735" s="22" t="n"/>
      <c r="T735" s="22" t="n"/>
    </row>
    <row r="736" ht="15.75" customHeight="1" s="23">
      <c r="L736" s="20" t="n"/>
      <c r="M736" s="21" t="n"/>
      <c r="P736" s="22" t="n"/>
      <c r="R736" s="22" t="n"/>
      <c r="T736" s="22" t="n"/>
    </row>
    <row r="737" ht="15.75" customHeight="1" s="23">
      <c r="L737" s="20" t="n"/>
      <c r="M737" s="21" t="n"/>
      <c r="P737" s="22" t="n"/>
      <c r="R737" s="22" t="n"/>
      <c r="T737" s="22" t="n"/>
    </row>
    <row r="738" ht="15.75" customHeight="1" s="23">
      <c r="L738" s="20" t="n"/>
      <c r="M738" s="21" t="n"/>
      <c r="P738" s="22" t="n"/>
      <c r="R738" s="22" t="n"/>
      <c r="T738" s="22" t="n"/>
    </row>
    <row r="739" ht="15.75" customHeight="1" s="23">
      <c r="L739" s="20" t="n"/>
      <c r="M739" s="21" t="n"/>
      <c r="P739" s="22" t="n"/>
      <c r="R739" s="22" t="n"/>
      <c r="T739" s="22" t="n"/>
    </row>
    <row r="740" ht="15.75" customHeight="1" s="23">
      <c r="L740" s="20" t="n"/>
      <c r="M740" s="21" t="n"/>
      <c r="P740" s="22" t="n"/>
      <c r="R740" s="22" t="n"/>
      <c r="T740" s="22" t="n"/>
    </row>
    <row r="741" ht="15.75" customHeight="1" s="23">
      <c r="L741" s="20" t="n"/>
      <c r="M741" s="21" t="n"/>
      <c r="P741" s="22" t="n"/>
      <c r="R741" s="22" t="n"/>
      <c r="T741" s="22" t="n"/>
    </row>
    <row r="742" ht="15.75" customHeight="1" s="23">
      <c r="L742" s="20" t="n"/>
      <c r="M742" s="21" t="n"/>
      <c r="P742" s="22" t="n"/>
      <c r="R742" s="22" t="n"/>
      <c r="T742" s="22" t="n"/>
    </row>
    <row r="743" ht="15.75" customHeight="1" s="23">
      <c r="L743" s="20" t="n"/>
      <c r="M743" s="21" t="n"/>
      <c r="P743" s="22" t="n"/>
      <c r="R743" s="22" t="n"/>
      <c r="T743" s="22" t="n"/>
    </row>
    <row r="744" ht="15.75" customHeight="1" s="23">
      <c r="L744" s="20" t="n"/>
      <c r="M744" s="21" t="n"/>
      <c r="P744" s="22" t="n"/>
      <c r="R744" s="22" t="n"/>
      <c r="T744" s="22" t="n"/>
    </row>
    <row r="745" ht="15.75" customHeight="1" s="23">
      <c r="L745" s="20" t="n"/>
      <c r="M745" s="21" t="n"/>
      <c r="P745" s="22" t="n"/>
      <c r="R745" s="22" t="n"/>
      <c r="T745" s="22" t="n"/>
    </row>
    <row r="746" ht="15.75" customHeight="1" s="23">
      <c r="L746" s="20" t="n"/>
      <c r="M746" s="21" t="n"/>
      <c r="P746" s="22" t="n"/>
      <c r="R746" s="22" t="n"/>
      <c r="T746" s="22" t="n"/>
    </row>
    <row r="747" ht="15.75" customHeight="1" s="23">
      <c r="L747" s="20" t="n"/>
      <c r="M747" s="21" t="n"/>
      <c r="P747" s="22" t="n"/>
      <c r="R747" s="22" t="n"/>
      <c r="T747" s="22" t="n"/>
    </row>
    <row r="748" ht="15.75" customHeight="1" s="23">
      <c r="L748" s="20" t="n"/>
      <c r="M748" s="21" t="n"/>
      <c r="P748" s="22" t="n"/>
      <c r="R748" s="22" t="n"/>
      <c r="T748" s="22" t="n"/>
    </row>
    <row r="749" ht="15.75" customHeight="1" s="23">
      <c r="L749" s="20" t="n"/>
      <c r="M749" s="21" t="n"/>
      <c r="P749" s="22" t="n"/>
      <c r="R749" s="22" t="n"/>
      <c r="T749" s="22" t="n"/>
    </row>
    <row r="750" ht="15.75" customHeight="1" s="23">
      <c r="L750" s="20" t="n"/>
      <c r="M750" s="21" t="n"/>
      <c r="P750" s="22" t="n"/>
      <c r="R750" s="22" t="n"/>
      <c r="T750" s="22" t="n"/>
    </row>
    <row r="751" ht="15.75" customHeight="1" s="23">
      <c r="L751" s="20" t="n"/>
      <c r="M751" s="21" t="n"/>
      <c r="P751" s="22" t="n"/>
      <c r="R751" s="22" t="n"/>
      <c r="T751" s="22" t="n"/>
    </row>
    <row r="752" ht="15.75" customHeight="1" s="23">
      <c r="L752" s="20" t="n"/>
      <c r="M752" s="21" t="n"/>
      <c r="P752" s="22" t="n"/>
      <c r="R752" s="22" t="n"/>
      <c r="T752" s="22" t="n"/>
    </row>
    <row r="753" ht="15.75" customHeight="1" s="23">
      <c r="L753" s="20" t="n"/>
      <c r="M753" s="21" t="n"/>
      <c r="P753" s="22" t="n"/>
      <c r="R753" s="22" t="n"/>
      <c r="T753" s="22" t="n"/>
    </row>
    <row r="754" ht="15.75" customHeight="1" s="23">
      <c r="L754" s="20" t="n"/>
      <c r="M754" s="21" t="n"/>
      <c r="P754" s="22" t="n"/>
      <c r="R754" s="22" t="n"/>
      <c r="T754" s="22" t="n"/>
    </row>
    <row r="755" ht="15.75" customHeight="1" s="23">
      <c r="L755" s="20" t="n"/>
      <c r="M755" s="21" t="n"/>
      <c r="P755" s="22" t="n"/>
      <c r="R755" s="22" t="n"/>
      <c r="T755" s="22" t="n"/>
    </row>
    <row r="756" ht="15.75" customHeight="1" s="23">
      <c r="L756" s="20" t="n"/>
      <c r="M756" s="21" t="n"/>
      <c r="P756" s="22" t="n"/>
      <c r="R756" s="22" t="n"/>
      <c r="T756" s="22" t="n"/>
    </row>
    <row r="757" ht="15.75" customHeight="1" s="23">
      <c r="L757" s="20" t="n"/>
      <c r="M757" s="21" t="n"/>
      <c r="P757" s="22" t="n"/>
      <c r="R757" s="22" t="n"/>
      <c r="T757" s="22" t="n"/>
    </row>
    <row r="758" ht="15.75" customHeight="1" s="23">
      <c r="L758" s="20" t="n"/>
      <c r="M758" s="21" t="n"/>
      <c r="P758" s="22" t="n"/>
      <c r="R758" s="22" t="n"/>
      <c r="T758" s="22" t="n"/>
    </row>
    <row r="759" ht="15.75" customHeight="1" s="23">
      <c r="L759" s="20" t="n"/>
      <c r="M759" s="21" t="n"/>
      <c r="P759" s="22" t="n"/>
      <c r="R759" s="22" t="n"/>
      <c r="T759" s="22" t="n"/>
    </row>
    <row r="760" ht="15.75" customHeight="1" s="23">
      <c r="L760" s="20" t="n"/>
      <c r="M760" s="21" t="n"/>
      <c r="P760" s="22" t="n"/>
      <c r="R760" s="22" t="n"/>
      <c r="T760" s="22" t="n"/>
    </row>
    <row r="761" ht="15.75" customHeight="1" s="23">
      <c r="L761" s="20" t="n"/>
      <c r="M761" s="21" t="n"/>
      <c r="P761" s="22" t="n"/>
      <c r="R761" s="22" t="n"/>
      <c r="T761" s="22" t="n"/>
    </row>
    <row r="762" ht="15.75" customHeight="1" s="23">
      <c r="L762" s="20" t="n"/>
      <c r="M762" s="21" t="n"/>
      <c r="P762" s="22" t="n"/>
      <c r="R762" s="22" t="n"/>
      <c r="T762" s="22" t="n"/>
    </row>
    <row r="763" ht="15.75" customHeight="1" s="23">
      <c r="L763" s="20" t="n"/>
      <c r="M763" s="21" t="n"/>
      <c r="P763" s="22" t="n"/>
      <c r="R763" s="22" t="n"/>
      <c r="T763" s="22" t="n"/>
    </row>
    <row r="764" ht="15.75" customHeight="1" s="23">
      <c r="L764" s="20" t="n"/>
      <c r="M764" s="21" t="n"/>
      <c r="P764" s="22" t="n"/>
      <c r="R764" s="22" t="n"/>
      <c r="T764" s="22" t="n"/>
    </row>
    <row r="765" ht="15.75" customHeight="1" s="23">
      <c r="L765" s="20" t="n"/>
      <c r="M765" s="21" t="n"/>
      <c r="P765" s="22" t="n"/>
      <c r="R765" s="22" t="n"/>
      <c r="T765" s="22" t="n"/>
    </row>
    <row r="766" ht="15.75" customHeight="1" s="23">
      <c r="L766" s="20" t="n"/>
      <c r="M766" s="21" t="n"/>
      <c r="P766" s="22" t="n"/>
      <c r="R766" s="22" t="n"/>
      <c r="T766" s="22" t="n"/>
    </row>
    <row r="767" ht="15.75" customHeight="1" s="23">
      <c r="L767" s="20" t="n"/>
      <c r="M767" s="21" t="n"/>
      <c r="P767" s="22" t="n"/>
      <c r="R767" s="22" t="n"/>
      <c r="T767" s="22" t="n"/>
    </row>
    <row r="768" ht="15.75" customHeight="1" s="23">
      <c r="L768" s="20" t="n"/>
      <c r="M768" s="21" t="n"/>
      <c r="P768" s="22" t="n"/>
      <c r="R768" s="22" t="n"/>
      <c r="T768" s="22" t="n"/>
    </row>
    <row r="769" ht="15.75" customHeight="1" s="23">
      <c r="L769" s="20" t="n"/>
      <c r="M769" s="21" t="n"/>
      <c r="P769" s="22" t="n"/>
      <c r="R769" s="22" t="n"/>
      <c r="T769" s="22" t="n"/>
    </row>
    <row r="770" ht="15.75" customHeight="1" s="23">
      <c r="L770" s="20" t="n"/>
      <c r="M770" s="21" t="n"/>
      <c r="P770" s="22" t="n"/>
      <c r="R770" s="22" t="n"/>
      <c r="T770" s="22" t="n"/>
    </row>
    <row r="771" ht="15.75" customHeight="1" s="23">
      <c r="L771" s="20" t="n"/>
      <c r="M771" s="21" t="n"/>
      <c r="P771" s="22" t="n"/>
      <c r="R771" s="22" t="n"/>
      <c r="T771" s="22" t="n"/>
    </row>
    <row r="772" ht="15.75" customHeight="1" s="23">
      <c r="L772" s="20" t="n"/>
      <c r="M772" s="21" t="n"/>
      <c r="P772" s="22" t="n"/>
      <c r="R772" s="22" t="n"/>
      <c r="T772" s="22" t="n"/>
    </row>
    <row r="773" ht="15.75" customHeight="1" s="23">
      <c r="L773" s="20" t="n"/>
      <c r="M773" s="21" t="n"/>
      <c r="P773" s="22" t="n"/>
      <c r="R773" s="22" t="n"/>
      <c r="T773" s="22" t="n"/>
    </row>
    <row r="774" ht="15.75" customHeight="1" s="23">
      <c r="L774" s="20" t="n"/>
      <c r="M774" s="21" t="n"/>
      <c r="P774" s="22" t="n"/>
      <c r="R774" s="22" t="n"/>
      <c r="T774" s="22" t="n"/>
    </row>
    <row r="775" ht="15.75" customHeight="1" s="23">
      <c r="L775" s="20" t="n"/>
      <c r="M775" s="21" t="n"/>
      <c r="P775" s="22" t="n"/>
      <c r="R775" s="22" t="n"/>
      <c r="T775" s="22" t="n"/>
    </row>
    <row r="776" ht="15.75" customHeight="1" s="23">
      <c r="L776" s="20" t="n"/>
      <c r="M776" s="21" t="n"/>
      <c r="P776" s="22" t="n"/>
      <c r="R776" s="22" t="n"/>
      <c r="T776" s="22" t="n"/>
    </row>
    <row r="777" ht="15.75" customHeight="1" s="23">
      <c r="L777" s="20" t="n"/>
      <c r="M777" s="21" t="n"/>
      <c r="P777" s="22" t="n"/>
      <c r="R777" s="22" t="n"/>
      <c r="T777" s="22" t="n"/>
    </row>
    <row r="778" ht="15.75" customHeight="1" s="23">
      <c r="L778" s="20" t="n"/>
      <c r="M778" s="21" t="n"/>
      <c r="P778" s="22" t="n"/>
      <c r="R778" s="22" t="n"/>
      <c r="T778" s="22" t="n"/>
    </row>
    <row r="779" ht="15.75" customHeight="1" s="23">
      <c r="L779" s="20" t="n"/>
      <c r="M779" s="21" t="n"/>
      <c r="P779" s="22" t="n"/>
      <c r="R779" s="22" t="n"/>
      <c r="T779" s="22" t="n"/>
    </row>
    <row r="780" ht="15.75" customHeight="1" s="23">
      <c r="L780" s="20" t="n"/>
      <c r="M780" s="21" t="n"/>
      <c r="P780" s="22" t="n"/>
      <c r="R780" s="22" t="n"/>
      <c r="T780" s="22" t="n"/>
    </row>
    <row r="781" ht="15.75" customHeight="1" s="23">
      <c r="L781" s="20" t="n"/>
      <c r="M781" s="21" t="n"/>
      <c r="P781" s="22" t="n"/>
      <c r="R781" s="22" t="n"/>
      <c r="T781" s="22" t="n"/>
    </row>
    <row r="782" ht="15.75" customHeight="1" s="23">
      <c r="L782" s="20" t="n"/>
      <c r="M782" s="21" t="n"/>
      <c r="P782" s="22" t="n"/>
      <c r="R782" s="22" t="n"/>
      <c r="T782" s="22" t="n"/>
    </row>
    <row r="783" ht="15.75" customHeight="1" s="23">
      <c r="L783" s="20" t="n"/>
      <c r="M783" s="21" t="n"/>
      <c r="P783" s="22" t="n"/>
      <c r="R783" s="22" t="n"/>
      <c r="T783" s="22" t="n"/>
    </row>
    <row r="784" ht="15.75" customHeight="1" s="23">
      <c r="L784" s="20" t="n"/>
      <c r="M784" s="21" t="n"/>
      <c r="P784" s="22" t="n"/>
      <c r="R784" s="22" t="n"/>
      <c r="T784" s="22" t="n"/>
    </row>
    <row r="785" ht="15.75" customHeight="1" s="23">
      <c r="L785" s="20" t="n"/>
      <c r="M785" s="21" t="n"/>
      <c r="P785" s="22" t="n"/>
      <c r="R785" s="22" t="n"/>
      <c r="T785" s="22" t="n"/>
    </row>
    <row r="786" ht="15.75" customHeight="1" s="23">
      <c r="L786" s="20" t="n"/>
      <c r="M786" s="21" t="n"/>
      <c r="P786" s="22" t="n"/>
      <c r="R786" s="22" t="n"/>
      <c r="T786" s="22" t="n"/>
    </row>
    <row r="787" ht="15.75" customHeight="1" s="23">
      <c r="L787" s="20" t="n"/>
      <c r="M787" s="21" t="n"/>
      <c r="P787" s="22" t="n"/>
      <c r="R787" s="22" t="n"/>
      <c r="T787" s="22" t="n"/>
    </row>
    <row r="788" ht="15.75" customHeight="1" s="23">
      <c r="L788" s="20" t="n"/>
      <c r="M788" s="21" t="n"/>
      <c r="P788" s="22" t="n"/>
      <c r="R788" s="22" t="n"/>
      <c r="T788" s="22" t="n"/>
    </row>
    <row r="789" ht="15.75" customHeight="1" s="23">
      <c r="L789" s="20" t="n"/>
      <c r="M789" s="21" t="n"/>
      <c r="P789" s="22" t="n"/>
      <c r="R789" s="22" t="n"/>
      <c r="T789" s="22" t="n"/>
    </row>
    <row r="790" ht="15.75" customHeight="1" s="23">
      <c r="L790" s="20" t="n"/>
      <c r="M790" s="21" t="n"/>
      <c r="P790" s="22" t="n"/>
      <c r="R790" s="22" t="n"/>
      <c r="T790" s="22" t="n"/>
    </row>
    <row r="791" ht="15.75" customHeight="1" s="23">
      <c r="L791" s="20" t="n"/>
      <c r="M791" s="21" t="n"/>
      <c r="P791" s="22" t="n"/>
      <c r="R791" s="22" t="n"/>
      <c r="T791" s="22" t="n"/>
    </row>
    <row r="792" ht="15.75" customHeight="1" s="23">
      <c r="L792" s="20" t="n"/>
      <c r="M792" s="21" t="n"/>
      <c r="P792" s="22" t="n"/>
      <c r="R792" s="22" t="n"/>
      <c r="T792" s="22" t="n"/>
    </row>
    <row r="793" ht="15.75" customHeight="1" s="23">
      <c r="L793" s="20" t="n"/>
      <c r="M793" s="21" t="n"/>
      <c r="P793" s="22" t="n"/>
      <c r="R793" s="22" t="n"/>
      <c r="T793" s="22" t="n"/>
    </row>
    <row r="794" ht="15.75" customHeight="1" s="23">
      <c r="L794" s="20" t="n"/>
      <c r="M794" s="21" t="n"/>
      <c r="P794" s="22" t="n"/>
      <c r="R794" s="22" t="n"/>
      <c r="T794" s="22" t="n"/>
    </row>
    <row r="795" ht="15.75" customHeight="1" s="23">
      <c r="L795" s="20" t="n"/>
      <c r="M795" s="21" t="n"/>
      <c r="P795" s="22" t="n"/>
      <c r="R795" s="22" t="n"/>
      <c r="T795" s="22" t="n"/>
    </row>
    <row r="796" ht="15.75" customHeight="1" s="23">
      <c r="L796" s="20" t="n"/>
      <c r="M796" s="21" t="n"/>
      <c r="P796" s="22" t="n"/>
      <c r="R796" s="22" t="n"/>
      <c r="T796" s="22" t="n"/>
    </row>
    <row r="797" ht="15.75" customHeight="1" s="23">
      <c r="L797" s="20" t="n"/>
      <c r="M797" s="21" t="n"/>
      <c r="P797" s="22" t="n"/>
      <c r="R797" s="22" t="n"/>
      <c r="T797" s="22" t="n"/>
    </row>
    <row r="798" ht="15.75" customHeight="1" s="23">
      <c r="L798" s="20" t="n"/>
      <c r="M798" s="21" t="n"/>
      <c r="P798" s="22" t="n"/>
      <c r="R798" s="22" t="n"/>
      <c r="T798" s="22" t="n"/>
    </row>
    <row r="799" ht="15.75" customHeight="1" s="23">
      <c r="L799" s="20" t="n"/>
      <c r="M799" s="21" t="n"/>
      <c r="P799" s="22" t="n"/>
      <c r="R799" s="22" t="n"/>
      <c r="T799" s="22" t="n"/>
    </row>
    <row r="800" ht="15.75" customHeight="1" s="23">
      <c r="L800" s="20" t="n"/>
      <c r="M800" s="21" t="n"/>
      <c r="P800" s="22" t="n"/>
      <c r="R800" s="22" t="n"/>
      <c r="T800" s="22" t="n"/>
    </row>
    <row r="801" ht="15.75" customHeight="1" s="23">
      <c r="L801" s="20" t="n"/>
      <c r="M801" s="21" t="n"/>
      <c r="P801" s="22" t="n"/>
      <c r="R801" s="22" t="n"/>
      <c r="T801" s="22" t="n"/>
    </row>
    <row r="802" ht="15.75" customHeight="1" s="23">
      <c r="L802" s="20" t="n"/>
      <c r="M802" s="21" t="n"/>
      <c r="P802" s="22" t="n"/>
      <c r="R802" s="22" t="n"/>
      <c r="T802" s="22" t="n"/>
    </row>
    <row r="803" ht="15.75" customHeight="1" s="23">
      <c r="L803" s="20" t="n"/>
      <c r="M803" s="21" t="n"/>
      <c r="P803" s="22" t="n"/>
      <c r="R803" s="22" t="n"/>
      <c r="T803" s="22" t="n"/>
    </row>
    <row r="804" ht="15.75" customHeight="1" s="23">
      <c r="L804" s="20" t="n"/>
      <c r="M804" s="21" t="n"/>
      <c r="P804" s="22" t="n"/>
      <c r="R804" s="22" t="n"/>
      <c r="T804" s="22" t="n"/>
    </row>
    <row r="805" ht="15.75" customHeight="1" s="23">
      <c r="L805" s="20" t="n"/>
      <c r="M805" s="21" t="n"/>
      <c r="P805" s="22" t="n"/>
      <c r="R805" s="22" t="n"/>
      <c r="T805" s="22" t="n"/>
    </row>
    <row r="806" ht="15.75" customHeight="1" s="23">
      <c r="L806" s="20" t="n"/>
      <c r="M806" s="21" t="n"/>
      <c r="P806" s="22" t="n"/>
      <c r="R806" s="22" t="n"/>
      <c r="T806" s="22" t="n"/>
    </row>
    <row r="807" ht="15.75" customHeight="1" s="23">
      <c r="L807" s="20" t="n"/>
      <c r="M807" s="21" t="n"/>
      <c r="P807" s="22" t="n"/>
      <c r="R807" s="22" t="n"/>
      <c r="T807" s="22" t="n"/>
    </row>
    <row r="808" ht="15.75" customHeight="1" s="23">
      <c r="L808" s="20" t="n"/>
      <c r="M808" s="21" t="n"/>
      <c r="P808" s="22" t="n"/>
      <c r="R808" s="22" t="n"/>
      <c r="T808" s="22" t="n"/>
    </row>
    <row r="809" ht="15.75" customHeight="1" s="23">
      <c r="L809" s="20" t="n"/>
      <c r="M809" s="21" t="n"/>
      <c r="P809" s="22" t="n"/>
      <c r="R809" s="22" t="n"/>
      <c r="T809" s="22" t="n"/>
    </row>
    <row r="810" ht="15.75" customHeight="1" s="23">
      <c r="L810" s="20" t="n"/>
      <c r="M810" s="21" t="n"/>
      <c r="P810" s="22" t="n"/>
      <c r="R810" s="22" t="n"/>
      <c r="T810" s="22" t="n"/>
    </row>
    <row r="811" ht="15.75" customHeight="1" s="23">
      <c r="L811" s="20" t="n"/>
      <c r="M811" s="21" t="n"/>
      <c r="P811" s="22" t="n"/>
      <c r="R811" s="22" t="n"/>
      <c r="T811" s="22" t="n"/>
    </row>
    <row r="812" ht="15.75" customHeight="1" s="23">
      <c r="L812" s="20" t="n"/>
      <c r="M812" s="21" t="n"/>
      <c r="P812" s="22" t="n"/>
      <c r="R812" s="22" t="n"/>
      <c r="T812" s="22" t="n"/>
    </row>
    <row r="813" ht="15.75" customHeight="1" s="23">
      <c r="L813" s="20" t="n"/>
      <c r="M813" s="21" t="n"/>
      <c r="P813" s="22" t="n"/>
      <c r="R813" s="22" t="n"/>
      <c r="T813" s="22" t="n"/>
    </row>
    <row r="814" ht="15.75" customHeight="1" s="23">
      <c r="L814" s="20" t="n"/>
      <c r="M814" s="21" t="n"/>
      <c r="P814" s="22" t="n"/>
      <c r="R814" s="22" t="n"/>
      <c r="T814" s="22" t="n"/>
    </row>
    <row r="815" ht="15.75" customHeight="1" s="23">
      <c r="L815" s="20" t="n"/>
      <c r="M815" s="21" t="n"/>
      <c r="P815" s="22" t="n"/>
      <c r="R815" s="22" t="n"/>
      <c r="T815" s="22" t="n"/>
    </row>
    <row r="816" ht="15.75" customHeight="1" s="23">
      <c r="L816" s="20" t="n"/>
      <c r="M816" s="21" t="n"/>
      <c r="P816" s="22" t="n"/>
      <c r="R816" s="22" t="n"/>
      <c r="T816" s="22" t="n"/>
    </row>
    <row r="817" ht="15.75" customHeight="1" s="23">
      <c r="L817" s="20" t="n"/>
      <c r="M817" s="21" t="n"/>
      <c r="P817" s="22" t="n"/>
      <c r="R817" s="22" t="n"/>
      <c r="T817" s="22" t="n"/>
    </row>
    <row r="818" ht="15.75" customHeight="1" s="23">
      <c r="L818" s="20" t="n"/>
      <c r="M818" s="21" t="n"/>
      <c r="P818" s="22" t="n"/>
      <c r="R818" s="22" t="n"/>
      <c r="T818" s="22" t="n"/>
    </row>
    <row r="819" ht="15.75" customHeight="1" s="23">
      <c r="L819" s="20" t="n"/>
      <c r="M819" s="21" t="n"/>
      <c r="P819" s="22" t="n"/>
      <c r="R819" s="22" t="n"/>
      <c r="T819" s="22" t="n"/>
    </row>
    <row r="820" ht="15.75" customHeight="1" s="23">
      <c r="L820" s="20" t="n"/>
      <c r="M820" s="21" t="n"/>
      <c r="P820" s="22" t="n"/>
      <c r="R820" s="22" t="n"/>
      <c r="T820" s="22" t="n"/>
    </row>
    <row r="821" ht="15.75" customHeight="1" s="23">
      <c r="L821" s="20" t="n"/>
      <c r="M821" s="21" t="n"/>
      <c r="P821" s="22" t="n"/>
      <c r="R821" s="22" t="n"/>
      <c r="T821" s="22" t="n"/>
    </row>
    <row r="822" ht="15.75" customHeight="1" s="23">
      <c r="L822" s="20" t="n"/>
      <c r="M822" s="21" t="n"/>
      <c r="P822" s="22" t="n"/>
      <c r="R822" s="22" t="n"/>
      <c r="T822" s="22" t="n"/>
    </row>
    <row r="823" ht="15.75" customHeight="1" s="23">
      <c r="L823" s="20" t="n"/>
      <c r="M823" s="21" t="n"/>
      <c r="P823" s="22" t="n"/>
      <c r="R823" s="22" t="n"/>
      <c r="T823" s="22" t="n"/>
    </row>
    <row r="824" ht="15.75" customHeight="1" s="23">
      <c r="L824" s="20" t="n"/>
      <c r="M824" s="21" t="n"/>
      <c r="P824" s="22" t="n"/>
      <c r="R824" s="22" t="n"/>
      <c r="T824" s="22" t="n"/>
    </row>
    <row r="825" ht="15.75" customHeight="1" s="23">
      <c r="L825" s="20" t="n"/>
      <c r="M825" s="21" t="n"/>
      <c r="P825" s="22" t="n"/>
      <c r="R825" s="22" t="n"/>
      <c r="T825" s="22" t="n"/>
    </row>
    <row r="826" ht="15.75" customHeight="1" s="23">
      <c r="L826" s="20" t="n"/>
      <c r="M826" s="21" t="n"/>
      <c r="P826" s="22" t="n"/>
      <c r="R826" s="22" t="n"/>
      <c r="T826" s="22" t="n"/>
    </row>
    <row r="827" ht="15.75" customHeight="1" s="23">
      <c r="L827" s="20" t="n"/>
      <c r="M827" s="21" t="n"/>
      <c r="P827" s="22" t="n"/>
      <c r="R827" s="22" t="n"/>
      <c r="T827" s="22" t="n"/>
    </row>
    <row r="828" ht="15.75" customHeight="1" s="23">
      <c r="L828" s="20" t="n"/>
      <c r="M828" s="21" t="n"/>
      <c r="P828" s="22" t="n"/>
      <c r="R828" s="22" t="n"/>
      <c r="T828" s="22" t="n"/>
    </row>
    <row r="829" ht="15.75" customHeight="1" s="23">
      <c r="L829" s="20" t="n"/>
      <c r="M829" s="21" t="n"/>
      <c r="P829" s="22" t="n"/>
      <c r="R829" s="22" t="n"/>
      <c r="T829" s="22" t="n"/>
    </row>
    <row r="830" ht="15.75" customHeight="1" s="23">
      <c r="L830" s="20" t="n"/>
      <c r="M830" s="21" t="n"/>
      <c r="P830" s="22" t="n"/>
      <c r="R830" s="22" t="n"/>
      <c r="T830" s="22" t="n"/>
    </row>
    <row r="831" ht="15.75" customHeight="1" s="23">
      <c r="L831" s="20" t="n"/>
      <c r="M831" s="21" t="n"/>
      <c r="P831" s="22" t="n"/>
      <c r="R831" s="22" t="n"/>
      <c r="T831" s="22" t="n"/>
    </row>
    <row r="832" ht="15.75" customHeight="1" s="23">
      <c r="L832" s="20" t="n"/>
      <c r="M832" s="21" t="n"/>
      <c r="P832" s="22" t="n"/>
      <c r="R832" s="22" t="n"/>
      <c r="T832" s="22" t="n"/>
    </row>
    <row r="833" ht="15.75" customHeight="1" s="23">
      <c r="L833" s="20" t="n"/>
      <c r="M833" s="21" t="n"/>
      <c r="P833" s="22" t="n"/>
      <c r="R833" s="22" t="n"/>
      <c r="T833" s="22" t="n"/>
    </row>
    <row r="834" ht="15.75" customHeight="1" s="23">
      <c r="L834" s="20" t="n"/>
      <c r="M834" s="21" t="n"/>
      <c r="P834" s="22" t="n"/>
      <c r="R834" s="22" t="n"/>
      <c r="T834" s="22" t="n"/>
    </row>
    <row r="835" ht="15.75" customHeight="1" s="23">
      <c r="L835" s="20" t="n"/>
      <c r="M835" s="21" t="n"/>
      <c r="P835" s="22" t="n"/>
      <c r="R835" s="22" t="n"/>
      <c r="T835" s="22" t="n"/>
    </row>
    <row r="836" ht="15.75" customHeight="1" s="23">
      <c r="L836" s="20" t="n"/>
      <c r="M836" s="21" t="n"/>
      <c r="P836" s="22" t="n"/>
      <c r="R836" s="22" t="n"/>
      <c r="T836" s="22" t="n"/>
    </row>
    <row r="837" ht="15.75" customHeight="1" s="23">
      <c r="L837" s="20" t="n"/>
      <c r="M837" s="21" t="n"/>
      <c r="P837" s="22" t="n"/>
      <c r="R837" s="22" t="n"/>
      <c r="T837" s="22" t="n"/>
    </row>
    <row r="838" ht="15.75" customHeight="1" s="23">
      <c r="L838" s="20" t="n"/>
      <c r="M838" s="21" t="n"/>
      <c r="P838" s="22" t="n"/>
      <c r="R838" s="22" t="n"/>
      <c r="T838" s="22" t="n"/>
    </row>
    <row r="839" ht="15.75" customHeight="1" s="23">
      <c r="L839" s="20" t="n"/>
      <c r="M839" s="21" t="n"/>
      <c r="P839" s="22" t="n"/>
      <c r="R839" s="22" t="n"/>
      <c r="T839" s="22" t="n"/>
    </row>
    <row r="840" ht="15.75" customHeight="1" s="23">
      <c r="L840" s="20" t="n"/>
      <c r="M840" s="21" t="n"/>
      <c r="P840" s="22" t="n"/>
      <c r="R840" s="22" t="n"/>
      <c r="T840" s="22" t="n"/>
    </row>
    <row r="841" ht="15.75" customHeight="1" s="23">
      <c r="L841" s="20" t="n"/>
      <c r="M841" s="21" t="n"/>
      <c r="P841" s="22" t="n"/>
      <c r="R841" s="22" t="n"/>
      <c r="T841" s="22" t="n"/>
    </row>
    <row r="842" ht="15.75" customHeight="1" s="23">
      <c r="L842" s="20" t="n"/>
      <c r="M842" s="21" t="n"/>
      <c r="P842" s="22" t="n"/>
      <c r="R842" s="22" t="n"/>
      <c r="T842" s="22" t="n"/>
    </row>
    <row r="843" ht="15.75" customHeight="1" s="23">
      <c r="L843" s="20" t="n"/>
      <c r="M843" s="21" t="n"/>
      <c r="P843" s="22" t="n"/>
      <c r="R843" s="22" t="n"/>
      <c r="T843" s="22" t="n"/>
    </row>
    <row r="844" ht="15.75" customHeight="1" s="23">
      <c r="L844" s="20" t="n"/>
      <c r="M844" s="21" t="n"/>
      <c r="P844" s="22" t="n"/>
      <c r="R844" s="22" t="n"/>
      <c r="T844" s="22" t="n"/>
    </row>
    <row r="845" ht="15.75" customHeight="1" s="23">
      <c r="L845" s="20" t="n"/>
      <c r="M845" s="21" t="n"/>
      <c r="P845" s="22" t="n"/>
      <c r="R845" s="22" t="n"/>
      <c r="T845" s="22" t="n"/>
    </row>
    <row r="846" ht="15.75" customHeight="1" s="23">
      <c r="L846" s="20" t="n"/>
      <c r="M846" s="21" t="n"/>
      <c r="P846" s="22" t="n"/>
      <c r="R846" s="22" t="n"/>
      <c r="T846" s="22" t="n"/>
    </row>
    <row r="847" ht="15.75" customHeight="1" s="23">
      <c r="L847" s="20" t="n"/>
      <c r="M847" s="21" t="n"/>
      <c r="P847" s="22" t="n"/>
      <c r="R847" s="22" t="n"/>
      <c r="T847" s="22" t="n"/>
    </row>
    <row r="848" ht="15.75" customHeight="1" s="23">
      <c r="L848" s="20" t="n"/>
      <c r="M848" s="21" t="n"/>
      <c r="P848" s="22" t="n"/>
      <c r="R848" s="22" t="n"/>
      <c r="T848" s="22" t="n"/>
    </row>
    <row r="849" ht="15.75" customHeight="1" s="23">
      <c r="L849" s="20" t="n"/>
      <c r="M849" s="21" t="n"/>
      <c r="P849" s="22" t="n"/>
      <c r="R849" s="22" t="n"/>
      <c r="T849" s="22" t="n"/>
    </row>
    <row r="850" ht="15.75" customHeight="1" s="23">
      <c r="L850" s="20" t="n"/>
      <c r="M850" s="21" t="n"/>
      <c r="P850" s="22" t="n"/>
      <c r="R850" s="22" t="n"/>
      <c r="T850" s="22" t="n"/>
    </row>
    <row r="851" ht="15.75" customHeight="1" s="23">
      <c r="L851" s="20" t="n"/>
      <c r="M851" s="21" t="n"/>
      <c r="P851" s="22" t="n"/>
      <c r="R851" s="22" t="n"/>
      <c r="T851" s="22" t="n"/>
    </row>
    <row r="852" ht="15.75" customHeight="1" s="23">
      <c r="L852" s="20" t="n"/>
      <c r="M852" s="21" t="n"/>
      <c r="P852" s="22" t="n"/>
      <c r="R852" s="22" t="n"/>
      <c r="T852" s="22" t="n"/>
    </row>
    <row r="853" ht="15.75" customHeight="1" s="23">
      <c r="L853" s="20" t="n"/>
      <c r="M853" s="21" t="n"/>
      <c r="P853" s="22" t="n"/>
      <c r="R853" s="22" t="n"/>
      <c r="T853" s="22" t="n"/>
    </row>
    <row r="854" ht="15.75" customHeight="1" s="23">
      <c r="L854" s="20" t="n"/>
      <c r="M854" s="21" t="n"/>
      <c r="P854" s="22" t="n"/>
      <c r="R854" s="22" t="n"/>
      <c r="T854" s="22" t="n"/>
    </row>
    <row r="855" ht="15.75" customHeight="1" s="23">
      <c r="L855" s="20" t="n"/>
      <c r="M855" s="21" t="n"/>
      <c r="P855" s="22" t="n"/>
      <c r="R855" s="22" t="n"/>
      <c r="T855" s="22" t="n"/>
    </row>
    <row r="856" ht="15.75" customHeight="1" s="23">
      <c r="L856" s="20" t="n"/>
      <c r="M856" s="21" t="n"/>
      <c r="P856" s="22" t="n"/>
      <c r="R856" s="22" t="n"/>
      <c r="T856" s="22" t="n"/>
    </row>
    <row r="857" ht="15.75" customHeight="1" s="23">
      <c r="L857" s="20" t="n"/>
      <c r="M857" s="21" t="n"/>
      <c r="P857" s="22" t="n"/>
      <c r="R857" s="22" t="n"/>
      <c r="T857" s="22" t="n"/>
    </row>
    <row r="858" ht="15.75" customHeight="1" s="23">
      <c r="L858" s="20" t="n"/>
      <c r="M858" s="21" t="n"/>
      <c r="P858" s="22" t="n"/>
      <c r="R858" s="22" t="n"/>
      <c r="T858" s="22" t="n"/>
    </row>
    <row r="859" ht="15.75" customHeight="1" s="23">
      <c r="L859" s="20" t="n"/>
      <c r="M859" s="21" t="n"/>
      <c r="P859" s="22" t="n"/>
      <c r="R859" s="22" t="n"/>
      <c r="T859" s="22" t="n"/>
    </row>
    <row r="860" ht="15.75" customHeight="1" s="23">
      <c r="L860" s="20" t="n"/>
      <c r="M860" s="21" t="n"/>
      <c r="P860" s="22" t="n"/>
      <c r="R860" s="22" t="n"/>
      <c r="T860" s="22" t="n"/>
    </row>
    <row r="861" ht="15.75" customHeight="1" s="23">
      <c r="L861" s="20" t="n"/>
      <c r="M861" s="21" t="n"/>
      <c r="P861" s="22" t="n"/>
      <c r="R861" s="22" t="n"/>
      <c r="T861" s="22" t="n"/>
    </row>
    <row r="862" ht="15.75" customHeight="1" s="23">
      <c r="L862" s="20" t="n"/>
      <c r="M862" s="21" t="n"/>
      <c r="P862" s="22" t="n"/>
      <c r="R862" s="22" t="n"/>
      <c r="T862" s="22" t="n"/>
    </row>
    <row r="863" ht="15.75" customHeight="1" s="23">
      <c r="L863" s="20" t="n"/>
      <c r="M863" s="21" t="n"/>
      <c r="P863" s="22" t="n"/>
      <c r="R863" s="22" t="n"/>
      <c r="T863" s="22" t="n"/>
    </row>
    <row r="864" ht="15.75" customHeight="1" s="23">
      <c r="L864" s="20" t="n"/>
      <c r="M864" s="21" t="n"/>
      <c r="P864" s="22" t="n"/>
      <c r="R864" s="22" t="n"/>
      <c r="T864" s="22" t="n"/>
    </row>
    <row r="865" ht="15.75" customHeight="1" s="23">
      <c r="L865" s="20" t="n"/>
      <c r="M865" s="21" t="n"/>
      <c r="P865" s="22" t="n"/>
      <c r="R865" s="22" t="n"/>
      <c r="T865" s="22" t="n"/>
    </row>
    <row r="866" ht="15.75" customHeight="1" s="23">
      <c r="L866" s="20" t="n"/>
      <c r="M866" s="21" t="n"/>
      <c r="P866" s="22" t="n"/>
      <c r="R866" s="22" t="n"/>
      <c r="T866" s="22" t="n"/>
    </row>
    <row r="867" ht="15.75" customHeight="1" s="23">
      <c r="L867" s="20" t="n"/>
      <c r="M867" s="21" t="n"/>
      <c r="P867" s="22" t="n"/>
      <c r="R867" s="22" t="n"/>
      <c r="T867" s="22" t="n"/>
    </row>
    <row r="868" ht="15.75" customHeight="1" s="23">
      <c r="L868" s="20" t="n"/>
      <c r="M868" s="21" t="n"/>
      <c r="P868" s="22" t="n"/>
      <c r="R868" s="22" t="n"/>
      <c r="T868" s="22" t="n"/>
    </row>
    <row r="869" ht="15.75" customHeight="1" s="23">
      <c r="L869" s="20" t="n"/>
      <c r="M869" s="21" t="n"/>
      <c r="P869" s="22" t="n"/>
      <c r="R869" s="22" t="n"/>
      <c r="T869" s="22" t="n"/>
    </row>
    <row r="870" ht="15.75" customHeight="1" s="23">
      <c r="L870" s="20" t="n"/>
      <c r="M870" s="21" t="n"/>
      <c r="P870" s="22" t="n"/>
      <c r="R870" s="22" t="n"/>
      <c r="T870" s="22" t="n"/>
    </row>
    <row r="871" ht="15.75" customHeight="1" s="23">
      <c r="L871" s="20" t="n"/>
      <c r="M871" s="21" t="n"/>
      <c r="P871" s="22" t="n"/>
      <c r="R871" s="22" t="n"/>
      <c r="T871" s="22" t="n"/>
    </row>
    <row r="872" ht="15.75" customHeight="1" s="23">
      <c r="L872" s="20" t="n"/>
      <c r="M872" s="21" t="n"/>
      <c r="P872" s="22" t="n"/>
      <c r="R872" s="22" t="n"/>
      <c r="T872" s="22" t="n"/>
    </row>
    <row r="873" ht="15.75" customHeight="1" s="23">
      <c r="L873" s="20" t="n"/>
      <c r="M873" s="21" t="n"/>
      <c r="P873" s="22" t="n"/>
      <c r="R873" s="22" t="n"/>
      <c r="T873" s="22" t="n"/>
    </row>
    <row r="874" ht="15.75" customHeight="1" s="23">
      <c r="L874" s="20" t="n"/>
      <c r="M874" s="21" t="n"/>
      <c r="P874" s="22" t="n"/>
      <c r="R874" s="22" t="n"/>
      <c r="T874" s="22" t="n"/>
    </row>
    <row r="875" ht="15.75" customHeight="1" s="23">
      <c r="L875" s="20" t="n"/>
      <c r="M875" s="21" t="n"/>
      <c r="P875" s="22" t="n"/>
      <c r="R875" s="22" t="n"/>
      <c r="T875" s="22" t="n"/>
    </row>
    <row r="876" ht="15.75" customHeight="1" s="23">
      <c r="L876" s="20" t="n"/>
      <c r="M876" s="21" t="n"/>
      <c r="P876" s="22" t="n"/>
      <c r="R876" s="22" t="n"/>
      <c r="T876" s="22" t="n"/>
    </row>
    <row r="877" ht="15.75" customHeight="1" s="23">
      <c r="L877" s="20" t="n"/>
      <c r="M877" s="21" t="n"/>
      <c r="P877" s="22" t="n"/>
      <c r="R877" s="22" t="n"/>
      <c r="T877" s="22" t="n"/>
    </row>
    <row r="878" ht="15.75" customHeight="1" s="23">
      <c r="L878" s="20" t="n"/>
      <c r="M878" s="21" t="n"/>
      <c r="P878" s="22" t="n"/>
      <c r="R878" s="22" t="n"/>
      <c r="T878" s="22" t="n"/>
    </row>
    <row r="879" ht="15.75" customHeight="1" s="23">
      <c r="L879" s="20" t="n"/>
      <c r="M879" s="21" t="n"/>
      <c r="P879" s="22" t="n"/>
      <c r="R879" s="22" t="n"/>
      <c r="T879" s="22" t="n"/>
    </row>
    <row r="880" ht="15.75" customHeight="1" s="23">
      <c r="L880" s="20" t="n"/>
      <c r="M880" s="21" t="n"/>
      <c r="P880" s="22" t="n"/>
      <c r="R880" s="22" t="n"/>
      <c r="T880" s="22" t="n"/>
    </row>
    <row r="881" ht="15.75" customHeight="1" s="23">
      <c r="L881" s="20" t="n"/>
      <c r="M881" s="21" t="n"/>
      <c r="P881" s="22" t="n"/>
      <c r="R881" s="22" t="n"/>
      <c r="T881" s="22" t="n"/>
    </row>
    <row r="882" ht="15.75" customHeight="1" s="23">
      <c r="L882" s="20" t="n"/>
      <c r="M882" s="21" t="n"/>
      <c r="P882" s="22" t="n"/>
      <c r="R882" s="22" t="n"/>
      <c r="T882" s="22" t="n"/>
    </row>
    <row r="883" ht="15.75" customHeight="1" s="23">
      <c r="L883" s="20" t="n"/>
      <c r="M883" s="21" t="n"/>
      <c r="P883" s="22" t="n"/>
      <c r="R883" s="22" t="n"/>
      <c r="T883" s="22" t="n"/>
    </row>
    <row r="884" ht="15.75" customHeight="1" s="23">
      <c r="L884" s="20" t="n"/>
      <c r="M884" s="21" t="n"/>
      <c r="P884" s="22" t="n"/>
      <c r="R884" s="22" t="n"/>
      <c r="T884" s="22" t="n"/>
    </row>
    <row r="885" ht="15.75" customHeight="1" s="23">
      <c r="L885" s="20" t="n"/>
      <c r="M885" s="21" t="n"/>
      <c r="P885" s="22" t="n"/>
      <c r="R885" s="22" t="n"/>
      <c r="T885" s="22" t="n"/>
    </row>
    <row r="886" ht="15.75" customHeight="1" s="23">
      <c r="L886" s="20" t="n"/>
      <c r="M886" s="21" t="n"/>
      <c r="P886" s="22" t="n"/>
      <c r="R886" s="22" t="n"/>
      <c r="T886" s="22" t="n"/>
    </row>
    <row r="887" ht="15.75" customHeight="1" s="23">
      <c r="L887" s="20" t="n"/>
      <c r="M887" s="21" t="n"/>
      <c r="P887" s="22" t="n"/>
      <c r="R887" s="22" t="n"/>
      <c r="T887" s="22" t="n"/>
    </row>
    <row r="888" ht="15.75" customHeight="1" s="23">
      <c r="L888" s="20" t="n"/>
      <c r="M888" s="21" t="n"/>
      <c r="P888" s="22" t="n"/>
      <c r="R888" s="22" t="n"/>
      <c r="T888" s="22" t="n"/>
    </row>
    <row r="889" ht="15.75" customHeight="1" s="23">
      <c r="L889" s="20" t="n"/>
      <c r="M889" s="21" t="n"/>
      <c r="P889" s="22" t="n"/>
      <c r="R889" s="22" t="n"/>
      <c r="T889" s="22" t="n"/>
    </row>
    <row r="890" ht="15.75" customHeight="1" s="23">
      <c r="L890" s="20" t="n"/>
      <c r="M890" s="21" t="n"/>
      <c r="P890" s="22" t="n"/>
      <c r="R890" s="22" t="n"/>
      <c r="T890" s="22" t="n"/>
    </row>
    <row r="891" ht="15.75" customHeight="1" s="23">
      <c r="L891" s="20" t="n"/>
      <c r="M891" s="21" t="n"/>
      <c r="P891" s="22" t="n"/>
      <c r="R891" s="22" t="n"/>
      <c r="T891" s="22" t="n"/>
    </row>
    <row r="892" ht="15.75" customHeight="1" s="23">
      <c r="L892" s="20" t="n"/>
      <c r="M892" s="21" t="n"/>
      <c r="P892" s="22" t="n"/>
      <c r="R892" s="22" t="n"/>
      <c r="T892" s="22" t="n"/>
    </row>
    <row r="893" ht="15.75" customHeight="1" s="23">
      <c r="L893" s="20" t="n"/>
      <c r="M893" s="21" t="n"/>
      <c r="P893" s="22" t="n"/>
      <c r="R893" s="22" t="n"/>
      <c r="T893" s="22" t="n"/>
    </row>
    <row r="894" ht="15.75" customHeight="1" s="23">
      <c r="L894" s="20" t="n"/>
      <c r="M894" s="21" t="n"/>
      <c r="P894" s="22" t="n"/>
      <c r="R894" s="22" t="n"/>
      <c r="T894" s="22" t="n"/>
    </row>
    <row r="895" ht="15.75" customHeight="1" s="23">
      <c r="L895" s="20" t="n"/>
      <c r="M895" s="21" t="n"/>
      <c r="P895" s="22" t="n"/>
      <c r="R895" s="22" t="n"/>
      <c r="T895" s="22" t="n"/>
    </row>
    <row r="896" ht="15.75" customHeight="1" s="23">
      <c r="L896" s="20" t="n"/>
      <c r="M896" s="21" t="n"/>
      <c r="P896" s="22" t="n"/>
      <c r="R896" s="22" t="n"/>
      <c r="T896" s="22" t="n"/>
    </row>
    <row r="897" ht="15.75" customHeight="1" s="23">
      <c r="L897" s="20" t="n"/>
      <c r="M897" s="21" t="n"/>
      <c r="P897" s="22" t="n"/>
      <c r="R897" s="22" t="n"/>
      <c r="T897" s="22" t="n"/>
    </row>
    <row r="898" ht="15.75" customHeight="1" s="23">
      <c r="L898" s="20" t="n"/>
      <c r="M898" s="21" t="n"/>
      <c r="P898" s="22" t="n"/>
      <c r="R898" s="22" t="n"/>
      <c r="T898" s="22" t="n"/>
    </row>
    <row r="899" ht="15.75" customHeight="1" s="23">
      <c r="L899" s="20" t="n"/>
      <c r="M899" s="21" t="n"/>
      <c r="P899" s="22" t="n"/>
      <c r="R899" s="22" t="n"/>
      <c r="T899" s="22" t="n"/>
    </row>
    <row r="900" ht="15.75" customHeight="1" s="23">
      <c r="L900" s="20" t="n"/>
      <c r="M900" s="21" t="n"/>
      <c r="P900" s="22" t="n"/>
      <c r="R900" s="22" t="n"/>
      <c r="T900" s="22" t="n"/>
    </row>
    <row r="901" ht="15.75" customHeight="1" s="23">
      <c r="L901" s="20" t="n"/>
      <c r="M901" s="21" t="n"/>
      <c r="P901" s="22" t="n"/>
      <c r="R901" s="22" t="n"/>
      <c r="T901" s="22" t="n"/>
    </row>
    <row r="902" ht="15.75" customHeight="1" s="23">
      <c r="L902" s="20" t="n"/>
      <c r="M902" s="21" t="n"/>
      <c r="P902" s="22" t="n"/>
      <c r="R902" s="22" t="n"/>
      <c r="T902" s="22" t="n"/>
    </row>
    <row r="903" ht="15.75" customHeight="1" s="23">
      <c r="L903" s="20" t="n"/>
      <c r="M903" s="21" t="n"/>
      <c r="P903" s="22" t="n"/>
      <c r="R903" s="22" t="n"/>
      <c r="T903" s="22" t="n"/>
    </row>
    <row r="904" ht="15.75" customHeight="1" s="23">
      <c r="L904" s="20" t="n"/>
      <c r="M904" s="21" t="n"/>
      <c r="P904" s="22" t="n"/>
      <c r="R904" s="22" t="n"/>
      <c r="T904" s="22" t="n"/>
    </row>
    <row r="905" ht="15.75" customHeight="1" s="23">
      <c r="L905" s="20" t="n"/>
      <c r="M905" s="21" t="n"/>
      <c r="P905" s="22" t="n"/>
      <c r="R905" s="22" t="n"/>
      <c r="T905" s="22" t="n"/>
    </row>
    <row r="906" ht="15.75" customHeight="1" s="23">
      <c r="L906" s="20" t="n"/>
      <c r="M906" s="21" t="n"/>
      <c r="P906" s="22" t="n"/>
      <c r="R906" s="22" t="n"/>
      <c r="T906" s="22" t="n"/>
    </row>
    <row r="907" ht="15.75" customHeight="1" s="23">
      <c r="L907" s="20" t="n"/>
      <c r="M907" s="21" t="n"/>
      <c r="P907" s="22" t="n"/>
      <c r="R907" s="22" t="n"/>
      <c r="T907" s="22" t="n"/>
    </row>
    <row r="908" ht="15.75" customHeight="1" s="23">
      <c r="L908" s="20" t="n"/>
      <c r="M908" s="21" t="n"/>
      <c r="P908" s="22" t="n"/>
      <c r="R908" s="22" t="n"/>
      <c r="T908" s="22" t="n"/>
    </row>
    <row r="909" ht="15.75" customHeight="1" s="23">
      <c r="L909" s="20" t="n"/>
      <c r="M909" s="21" t="n"/>
      <c r="P909" s="22" t="n"/>
      <c r="R909" s="22" t="n"/>
      <c r="T909" s="22" t="n"/>
    </row>
    <row r="910" ht="15.75" customHeight="1" s="23">
      <c r="L910" s="20" t="n"/>
      <c r="M910" s="21" t="n"/>
      <c r="P910" s="22" t="n"/>
      <c r="R910" s="22" t="n"/>
      <c r="T910" s="22" t="n"/>
    </row>
    <row r="911" ht="15.75" customHeight="1" s="23">
      <c r="L911" s="20" t="n"/>
      <c r="M911" s="21" t="n"/>
      <c r="P911" s="22" t="n"/>
      <c r="R911" s="22" t="n"/>
      <c r="T911" s="22" t="n"/>
    </row>
    <row r="912" ht="15.75" customHeight="1" s="23">
      <c r="L912" s="20" t="n"/>
      <c r="M912" s="21" t="n"/>
      <c r="P912" s="22" t="n"/>
      <c r="R912" s="22" t="n"/>
      <c r="T912" s="22" t="n"/>
    </row>
    <row r="913" ht="15.75" customHeight="1" s="23">
      <c r="L913" s="20" t="n"/>
      <c r="M913" s="21" t="n"/>
      <c r="P913" s="22" t="n"/>
      <c r="R913" s="22" t="n"/>
      <c r="T913" s="22" t="n"/>
    </row>
    <row r="914" ht="15.75" customHeight="1" s="23">
      <c r="L914" s="20" t="n"/>
      <c r="M914" s="21" t="n"/>
      <c r="P914" s="22" t="n"/>
      <c r="R914" s="22" t="n"/>
      <c r="T914" s="22" t="n"/>
    </row>
    <row r="915" ht="15.75" customHeight="1" s="23">
      <c r="L915" s="20" t="n"/>
      <c r="M915" s="21" t="n"/>
      <c r="P915" s="22" t="n"/>
      <c r="R915" s="22" t="n"/>
      <c r="T915" s="22" t="n"/>
    </row>
    <row r="916" ht="15.75" customHeight="1" s="23">
      <c r="L916" s="20" t="n"/>
      <c r="M916" s="21" t="n"/>
      <c r="P916" s="22" t="n"/>
      <c r="R916" s="22" t="n"/>
      <c r="T916" s="22" t="n"/>
    </row>
    <row r="917" ht="15.75" customHeight="1" s="23">
      <c r="L917" s="20" t="n"/>
      <c r="M917" s="21" t="n"/>
      <c r="P917" s="22" t="n"/>
      <c r="R917" s="22" t="n"/>
      <c r="T917" s="22" t="n"/>
    </row>
    <row r="918" ht="15.75" customHeight="1" s="23">
      <c r="L918" s="20" t="n"/>
      <c r="M918" s="21" t="n"/>
      <c r="P918" s="22" t="n"/>
      <c r="R918" s="22" t="n"/>
      <c r="T918" s="22" t="n"/>
    </row>
    <row r="919" ht="15.75" customHeight="1" s="23">
      <c r="L919" s="20" t="n"/>
      <c r="M919" s="21" t="n"/>
      <c r="P919" s="22" t="n"/>
      <c r="R919" s="22" t="n"/>
      <c r="T919" s="22" t="n"/>
    </row>
    <row r="920" ht="15.75" customHeight="1" s="23">
      <c r="L920" s="20" t="n"/>
      <c r="M920" s="21" t="n"/>
      <c r="P920" s="22" t="n"/>
      <c r="R920" s="22" t="n"/>
      <c r="T920" s="22" t="n"/>
    </row>
    <row r="921" ht="15.75" customHeight="1" s="23">
      <c r="L921" s="20" t="n"/>
      <c r="M921" s="21" t="n"/>
      <c r="P921" s="22" t="n"/>
      <c r="R921" s="22" t="n"/>
      <c r="T921" s="22" t="n"/>
    </row>
    <row r="922" ht="15.75" customHeight="1" s="23">
      <c r="L922" s="20" t="n"/>
      <c r="M922" s="21" t="n"/>
      <c r="P922" s="22" t="n"/>
      <c r="R922" s="22" t="n"/>
      <c r="T922" s="22" t="n"/>
    </row>
    <row r="923" ht="15.75" customHeight="1" s="23">
      <c r="L923" s="20" t="n"/>
      <c r="M923" s="21" t="n"/>
      <c r="P923" s="22" t="n"/>
      <c r="R923" s="22" t="n"/>
      <c r="T923" s="22" t="n"/>
    </row>
    <row r="924" ht="15.75" customHeight="1" s="23">
      <c r="L924" s="20" t="n"/>
      <c r="M924" s="21" t="n"/>
      <c r="P924" s="22" t="n"/>
      <c r="R924" s="22" t="n"/>
      <c r="T924" s="22" t="n"/>
    </row>
    <row r="925" ht="15.75" customHeight="1" s="23">
      <c r="L925" s="20" t="n"/>
      <c r="M925" s="21" t="n"/>
      <c r="P925" s="22" t="n"/>
      <c r="R925" s="22" t="n"/>
      <c r="T925" s="22" t="n"/>
    </row>
    <row r="926" ht="15.75" customHeight="1" s="23">
      <c r="L926" s="20" t="n"/>
      <c r="M926" s="21" t="n"/>
      <c r="P926" s="22" t="n"/>
      <c r="R926" s="22" t="n"/>
      <c r="T926" s="22" t="n"/>
    </row>
    <row r="927" ht="15.75" customHeight="1" s="23">
      <c r="L927" s="20" t="n"/>
      <c r="M927" s="21" t="n"/>
      <c r="P927" s="22" t="n"/>
      <c r="R927" s="22" t="n"/>
      <c r="T927" s="22" t="n"/>
    </row>
    <row r="928" ht="15.75" customHeight="1" s="23">
      <c r="L928" s="20" t="n"/>
      <c r="M928" s="21" t="n"/>
      <c r="P928" s="22" t="n"/>
      <c r="R928" s="22" t="n"/>
      <c r="T928" s="22" t="n"/>
    </row>
    <row r="929" ht="15.75" customHeight="1" s="23">
      <c r="L929" s="20" t="n"/>
      <c r="M929" s="21" t="n"/>
      <c r="P929" s="22" t="n"/>
      <c r="R929" s="22" t="n"/>
      <c r="T929" s="22" t="n"/>
    </row>
    <row r="930" ht="15.75" customHeight="1" s="23">
      <c r="L930" s="20" t="n"/>
      <c r="M930" s="21" t="n"/>
      <c r="P930" s="22" t="n"/>
      <c r="R930" s="22" t="n"/>
      <c r="T930" s="22" t="n"/>
    </row>
    <row r="931" ht="15.75" customHeight="1" s="23">
      <c r="L931" s="20" t="n"/>
      <c r="M931" s="21" t="n"/>
      <c r="P931" s="22" t="n"/>
      <c r="R931" s="22" t="n"/>
      <c r="T931" s="22" t="n"/>
    </row>
    <row r="932" ht="15.75" customHeight="1" s="23">
      <c r="L932" s="20" t="n"/>
      <c r="M932" s="21" t="n"/>
      <c r="P932" s="22" t="n"/>
      <c r="R932" s="22" t="n"/>
      <c r="T932" s="22" t="n"/>
    </row>
    <row r="933" ht="15.75" customHeight="1" s="23">
      <c r="L933" s="20" t="n"/>
      <c r="M933" s="21" t="n"/>
      <c r="P933" s="22" t="n"/>
      <c r="R933" s="22" t="n"/>
      <c r="T933" s="22" t="n"/>
    </row>
    <row r="934" ht="15.75" customHeight="1" s="23">
      <c r="L934" s="20" t="n"/>
      <c r="M934" s="21" t="n"/>
      <c r="P934" s="22" t="n"/>
      <c r="R934" s="22" t="n"/>
      <c r="T934" s="22" t="n"/>
    </row>
    <row r="935" ht="15.75" customHeight="1" s="23">
      <c r="L935" s="20" t="n"/>
      <c r="M935" s="21" t="n"/>
      <c r="P935" s="22" t="n"/>
      <c r="R935" s="22" t="n"/>
      <c r="T935" s="22" t="n"/>
    </row>
    <row r="936" ht="15.75" customHeight="1" s="23">
      <c r="L936" s="20" t="n"/>
      <c r="M936" s="21" t="n"/>
      <c r="P936" s="22" t="n"/>
      <c r="R936" s="22" t="n"/>
      <c r="T936" s="22" t="n"/>
    </row>
    <row r="937" ht="15.75" customHeight="1" s="23">
      <c r="L937" s="20" t="n"/>
      <c r="M937" s="21" t="n"/>
      <c r="P937" s="22" t="n"/>
      <c r="R937" s="22" t="n"/>
      <c r="T937" s="22" t="n"/>
    </row>
    <row r="938" ht="15.75" customHeight="1" s="23">
      <c r="L938" s="20" t="n"/>
      <c r="M938" s="21" t="n"/>
      <c r="P938" s="22" t="n"/>
      <c r="R938" s="22" t="n"/>
      <c r="T938" s="22" t="n"/>
    </row>
    <row r="939" ht="15.75" customHeight="1" s="23">
      <c r="L939" s="20" t="n"/>
      <c r="M939" s="21" t="n"/>
      <c r="P939" s="22" t="n"/>
      <c r="R939" s="22" t="n"/>
      <c r="T939" s="22" t="n"/>
    </row>
    <row r="940" ht="15.75" customHeight="1" s="23">
      <c r="L940" s="20" t="n"/>
      <c r="M940" s="21" t="n"/>
      <c r="P940" s="22" t="n"/>
      <c r="R940" s="22" t="n"/>
      <c r="T940" s="22" t="n"/>
    </row>
    <row r="941" ht="15.75" customHeight="1" s="23">
      <c r="L941" s="20" t="n"/>
      <c r="M941" s="21" t="n"/>
      <c r="P941" s="22" t="n"/>
      <c r="R941" s="22" t="n"/>
      <c r="T941" s="22" t="n"/>
    </row>
    <row r="942" ht="15.75" customHeight="1" s="23">
      <c r="L942" s="20" t="n"/>
      <c r="M942" s="21" t="n"/>
      <c r="P942" s="22" t="n"/>
      <c r="R942" s="22" t="n"/>
      <c r="T942" s="22" t="n"/>
    </row>
    <row r="943" ht="15.75" customHeight="1" s="23">
      <c r="L943" s="20" t="n"/>
      <c r="M943" s="21" t="n"/>
      <c r="P943" s="22" t="n"/>
      <c r="R943" s="22" t="n"/>
      <c r="T943" s="22" t="n"/>
    </row>
    <row r="944" ht="15.75" customHeight="1" s="23">
      <c r="L944" s="20" t="n"/>
      <c r="M944" s="21" t="n"/>
      <c r="P944" s="22" t="n"/>
      <c r="R944" s="22" t="n"/>
      <c r="T944" s="22" t="n"/>
    </row>
    <row r="945" ht="15.75" customHeight="1" s="23">
      <c r="L945" s="20" t="n"/>
      <c r="M945" s="21" t="n"/>
      <c r="P945" s="22" t="n"/>
      <c r="R945" s="22" t="n"/>
      <c r="T945" s="22" t="n"/>
    </row>
    <row r="946" ht="15.75" customHeight="1" s="23">
      <c r="L946" s="20" t="n"/>
      <c r="M946" s="21" t="n"/>
      <c r="P946" s="22" t="n"/>
      <c r="R946" s="22" t="n"/>
      <c r="T946" s="22" t="n"/>
    </row>
    <row r="947" ht="15.75" customHeight="1" s="23">
      <c r="L947" s="20" t="n"/>
      <c r="M947" s="21" t="n"/>
      <c r="P947" s="22" t="n"/>
      <c r="R947" s="22" t="n"/>
      <c r="T947" s="22" t="n"/>
    </row>
    <row r="948" ht="15.75" customHeight="1" s="23">
      <c r="L948" s="20" t="n"/>
      <c r="M948" s="21" t="n"/>
      <c r="P948" s="22" t="n"/>
      <c r="R948" s="22" t="n"/>
      <c r="T948" s="22" t="n"/>
    </row>
    <row r="949" ht="15.75" customHeight="1" s="23">
      <c r="L949" s="20" t="n"/>
      <c r="M949" s="21" t="n"/>
      <c r="P949" s="22" t="n"/>
      <c r="R949" s="22" t="n"/>
      <c r="T949" s="22" t="n"/>
    </row>
    <row r="950" ht="15.75" customHeight="1" s="23">
      <c r="L950" s="20" t="n"/>
      <c r="M950" s="21" t="n"/>
      <c r="P950" s="22" t="n"/>
      <c r="R950" s="22" t="n"/>
      <c r="T950" s="22" t="n"/>
    </row>
    <row r="951" ht="15.75" customHeight="1" s="23">
      <c r="L951" s="20" t="n"/>
      <c r="M951" s="21" t="n"/>
      <c r="P951" s="22" t="n"/>
      <c r="R951" s="22" t="n"/>
      <c r="T951" s="22" t="n"/>
    </row>
    <row r="952" ht="15.75" customHeight="1" s="23">
      <c r="L952" s="20" t="n"/>
      <c r="M952" s="21" t="n"/>
      <c r="P952" s="22" t="n"/>
      <c r="R952" s="22" t="n"/>
      <c r="T952" s="22" t="n"/>
    </row>
    <row r="953" ht="15.75" customHeight="1" s="23">
      <c r="L953" s="20" t="n"/>
      <c r="M953" s="21" t="n"/>
      <c r="P953" s="22" t="n"/>
      <c r="R953" s="22" t="n"/>
      <c r="T953" s="22" t="n"/>
    </row>
    <row r="954" ht="15.75" customHeight="1" s="23">
      <c r="L954" s="20" t="n"/>
      <c r="M954" s="21" t="n"/>
      <c r="P954" s="22" t="n"/>
      <c r="R954" s="22" t="n"/>
      <c r="T954" s="22" t="n"/>
    </row>
    <row r="955" ht="15.75" customHeight="1" s="23">
      <c r="L955" s="20" t="n"/>
      <c r="M955" s="21" t="n"/>
      <c r="P955" s="22" t="n"/>
      <c r="R955" s="22" t="n"/>
      <c r="T955" s="22" t="n"/>
    </row>
    <row r="956" ht="15.75" customHeight="1" s="23">
      <c r="L956" s="20" t="n"/>
      <c r="M956" s="21" t="n"/>
      <c r="P956" s="22" t="n"/>
      <c r="R956" s="22" t="n"/>
      <c r="T956" s="22" t="n"/>
    </row>
    <row r="957" ht="15.75" customHeight="1" s="23">
      <c r="L957" s="20" t="n"/>
      <c r="M957" s="21" t="n"/>
      <c r="P957" s="22" t="n"/>
      <c r="R957" s="22" t="n"/>
      <c r="T957" s="22" t="n"/>
    </row>
    <row r="958" ht="15.75" customHeight="1" s="23">
      <c r="L958" s="20" t="n"/>
      <c r="M958" s="21" t="n"/>
      <c r="P958" s="22" t="n"/>
      <c r="R958" s="22" t="n"/>
      <c r="T958" s="22" t="n"/>
    </row>
    <row r="959" ht="15.75" customHeight="1" s="23">
      <c r="L959" s="20" t="n"/>
      <c r="M959" s="21" t="n"/>
      <c r="P959" s="22" t="n"/>
      <c r="R959" s="22" t="n"/>
      <c r="T959" s="22" t="n"/>
    </row>
    <row r="960" ht="15.75" customHeight="1" s="23">
      <c r="L960" s="20" t="n"/>
      <c r="M960" s="21" t="n"/>
      <c r="P960" s="22" t="n"/>
      <c r="R960" s="22" t="n"/>
      <c r="T960" s="22" t="n"/>
    </row>
    <row r="961" ht="15.75" customHeight="1" s="23">
      <c r="L961" s="20" t="n"/>
      <c r="M961" s="21" t="n"/>
      <c r="P961" s="22" t="n"/>
      <c r="R961" s="22" t="n"/>
      <c r="T961" s="22" t="n"/>
    </row>
    <row r="962" ht="15.75" customHeight="1" s="23">
      <c r="L962" s="20" t="n"/>
      <c r="M962" s="21" t="n"/>
      <c r="P962" s="22" t="n"/>
      <c r="R962" s="22" t="n"/>
      <c r="T962" s="22" t="n"/>
    </row>
    <row r="963" ht="15.75" customHeight="1" s="23">
      <c r="L963" s="20" t="n"/>
      <c r="M963" s="21" t="n"/>
      <c r="P963" s="22" t="n"/>
      <c r="R963" s="22" t="n"/>
      <c r="T963" s="22" t="n"/>
    </row>
    <row r="964" ht="15.75" customHeight="1" s="23">
      <c r="L964" s="20" t="n"/>
      <c r="M964" s="21" t="n"/>
      <c r="P964" s="22" t="n"/>
      <c r="R964" s="22" t="n"/>
      <c r="T964" s="22" t="n"/>
    </row>
    <row r="965" ht="15.75" customHeight="1" s="23">
      <c r="L965" s="20" t="n"/>
      <c r="M965" s="21" t="n"/>
      <c r="P965" s="22" t="n"/>
      <c r="R965" s="22" t="n"/>
      <c r="T965" s="22" t="n"/>
    </row>
    <row r="966" ht="15.75" customHeight="1" s="23">
      <c r="L966" s="20" t="n"/>
      <c r="M966" s="21" t="n"/>
      <c r="P966" s="22" t="n"/>
      <c r="R966" s="22" t="n"/>
      <c r="T966" s="22" t="n"/>
    </row>
    <row r="967" ht="15.75" customHeight="1" s="23">
      <c r="L967" s="20" t="n"/>
      <c r="M967" s="21" t="n"/>
      <c r="P967" s="22" t="n"/>
      <c r="R967" s="22" t="n"/>
      <c r="T967" s="22" t="n"/>
    </row>
    <row r="968" ht="15.75" customHeight="1" s="23">
      <c r="L968" s="20" t="n"/>
      <c r="M968" s="21" t="n"/>
      <c r="P968" s="22" t="n"/>
      <c r="R968" s="22" t="n"/>
      <c r="T968" s="22" t="n"/>
    </row>
    <row r="969" ht="15.75" customHeight="1" s="23">
      <c r="L969" s="20" t="n"/>
      <c r="M969" s="21" t="n"/>
      <c r="P969" s="22" t="n"/>
      <c r="R969" s="22" t="n"/>
      <c r="T969" s="22" t="n"/>
    </row>
    <row r="970" ht="15.75" customHeight="1" s="23">
      <c r="L970" s="20" t="n"/>
      <c r="M970" s="21" t="n"/>
      <c r="P970" s="22" t="n"/>
      <c r="R970" s="22" t="n"/>
      <c r="T970" s="22" t="n"/>
    </row>
    <row r="971" ht="15.75" customHeight="1" s="23">
      <c r="L971" s="20" t="n"/>
      <c r="M971" s="21" t="n"/>
      <c r="P971" s="22" t="n"/>
      <c r="R971" s="22" t="n"/>
      <c r="T971" s="22" t="n"/>
    </row>
    <row r="972" ht="15.75" customHeight="1" s="23">
      <c r="L972" s="20" t="n"/>
      <c r="M972" s="21" t="n"/>
      <c r="P972" s="22" t="n"/>
      <c r="R972" s="22" t="n"/>
      <c r="T972" s="22" t="n"/>
    </row>
    <row r="973" ht="15.75" customHeight="1" s="23">
      <c r="L973" s="20" t="n"/>
      <c r="M973" s="21" t="n"/>
      <c r="P973" s="22" t="n"/>
      <c r="R973" s="22" t="n"/>
      <c r="T973" s="22" t="n"/>
    </row>
    <row r="974" ht="15.75" customHeight="1" s="23">
      <c r="L974" s="20" t="n"/>
      <c r="M974" s="21" t="n"/>
      <c r="P974" s="22" t="n"/>
      <c r="R974" s="22" t="n"/>
      <c r="T974" s="22" t="n"/>
    </row>
    <row r="975" ht="15.75" customHeight="1" s="23">
      <c r="L975" s="20" t="n"/>
      <c r="M975" s="21" t="n"/>
      <c r="P975" s="22" t="n"/>
      <c r="R975" s="22" t="n"/>
      <c r="T975" s="22" t="n"/>
    </row>
    <row r="976" ht="15.75" customHeight="1" s="23">
      <c r="L976" s="20" t="n"/>
      <c r="M976" s="21" t="n"/>
      <c r="P976" s="22" t="n"/>
      <c r="R976" s="22" t="n"/>
      <c r="T976" s="22" t="n"/>
    </row>
    <row r="977" ht="15.75" customHeight="1" s="23">
      <c r="L977" s="20" t="n"/>
      <c r="M977" s="21" t="n"/>
      <c r="P977" s="22" t="n"/>
      <c r="R977" s="22" t="n"/>
      <c r="T977" s="22" t="n"/>
    </row>
    <row r="978" ht="15.75" customHeight="1" s="23">
      <c r="L978" s="20" t="n"/>
      <c r="M978" s="21" t="n"/>
      <c r="P978" s="22" t="n"/>
      <c r="R978" s="22" t="n"/>
      <c r="T978" s="22" t="n"/>
    </row>
    <row r="979" ht="15.75" customHeight="1" s="23">
      <c r="L979" s="20" t="n"/>
      <c r="M979" s="21" t="n"/>
      <c r="P979" s="22" t="n"/>
      <c r="R979" s="22" t="n"/>
      <c r="T979" s="22" t="n"/>
    </row>
    <row r="980" ht="15.75" customHeight="1" s="23">
      <c r="L980" s="20" t="n"/>
      <c r="M980" s="21" t="n"/>
      <c r="P980" s="22" t="n"/>
      <c r="R980" s="22" t="n"/>
      <c r="T980" s="22" t="n"/>
    </row>
    <row r="981" ht="15.75" customHeight="1" s="23">
      <c r="L981" s="20" t="n"/>
      <c r="M981" s="21" t="n"/>
      <c r="P981" s="22" t="n"/>
      <c r="R981" s="22" t="n"/>
      <c r="T981" s="22" t="n"/>
    </row>
    <row r="982" ht="15.75" customHeight="1" s="23">
      <c r="L982" s="20" t="n"/>
      <c r="M982" s="21" t="n"/>
      <c r="P982" s="22" t="n"/>
      <c r="R982" s="22" t="n"/>
      <c r="T982" s="22" t="n"/>
    </row>
    <row r="983" ht="15.75" customHeight="1" s="23">
      <c r="L983" s="20" t="n"/>
      <c r="M983" s="21" t="n"/>
      <c r="P983" s="22" t="n"/>
      <c r="R983" s="22" t="n"/>
      <c r="T983" s="22" t="n"/>
    </row>
    <row r="984" ht="15.75" customHeight="1" s="23">
      <c r="L984" s="20" t="n"/>
      <c r="M984" s="21" t="n"/>
      <c r="P984" s="22" t="n"/>
      <c r="R984" s="22" t="n"/>
      <c r="T984" s="22" t="n"/>
    </row>
    <row r="985" ht="15.75" customHeight="1" s="23">
      <c r="L985" s="20" t="n"/>
      <c r="M985" s="21" t="n"/>
      <c r="P985" s="22" t="n"/>
      <c r="R985" s="22" t="n"/>
      <c r="T985" s="22" t="n"/>
    </row>
    <row r="986" ht="15.75" customHeight="1" s="23">
      <c r="L986" s="20" t="n"/>
      <c r="M986" s="21" t="n"/>
      <c r="P986" s="22" t="n"/>
      <c r="R986" s="22" t="n"/>
      <c r="T986" s="22" t="n"/>
    </row>
    <row r="987" ht="15.75" customHeight="1" s="23">
      <c r="L987" s="20" t="n"/>
      <c r="M987" s="21" t="n"/>
      <c r="P987" s="22" t="n"/>
      <c r="R987" s="22" t="n"/>
      <c r="T987" s="22" t="n"/>
    </row>
    <row r="988" ht="15.75" customHeight="1" s="23">
      <c r="L988" s="20" t="n"/>
      <c r="M988" s="21" t="n"/>
      <c r="P988" s="22" t="n"/>
      <c r="R988" s="22" t="n"/>
      <c r="T988" s="22" t="n"/>
    </row>
    <row r="989" ht="15.75" customHeight="1" s="23">
      <c r="L989" s="20" t="n"/>
      <c r="M989" s="21" t="n"/>
      <c r="P989" s="22" t="n"/>
      <c r="R989" s="22" t="n"/>
      <c r="T989" s="22" t="n"/>
    </row>
    <row r="990" ht="15.75" customHeight="1" s="23">
      <c r="L990" s="20" t="n"/>
      <c r="M990" s="21" t="n"/>
      <c r="P990" s="22" t="n"/>
      <c r="R990" s="22" t="n"/>
      <c r="T990" s="22" t="n"/>
    </row>
    <row r="991" ht="15.75" customHeight="1" s="23">
      <c r="L991" s="20" t="n"/>
      <c r="M991" s="21" t="n"/>
      <c r="P991" s="22" t="n"/>
      <c r="R991" s="22" t="n"/>
      <c r="T991" s="22" t="n"/>
    </row>
    <row r="992" ht="15.75" customHeight="1" s="23">
      <c r="L992" s="20" t="n"/>
      <c r="M992" s="21" t="n"/>
      <c r="P992" s="22" t="n"/>
      <c r="R992" s="22" t="n"/>
      <c r="T992" s="22" t="n"/>
    </row>
    <row r="993" ht="15.75" customHeight="1" s="23">
      <c r="L993" s="20" t="n"/>
      <c r="M993" s="21" t="n"/>
      <c r="P993" s="22" t="n"/>
      <c r="R993" s="22" t="n"/>
      <c r="T993" s="22" t="n"/>
    </row>
    <row r="994" ht="15.75" customHeight="1" s="23">
      <c r="L994" s="20" t="n"/>
      <c r="M994" s="21" t="n"/>
      <c r="P994" s="22" t="n"/>
      <c r="R994" s="22" t="n"/>
      <c r="T994" s="22" t="n"/>
    </row>
    <row r="995" ht="15.75" customHeight="1" s="23">
      <c r="L995" s="20" t="n"/>
      <c r="M995" s="21" t="n"/>
      <c r="P995" s="22" t="n"/>
      <c r="R995" s="22" t="n"/>
      <c r="T995" s="22" t="n"/>
    </row>
    <row r="996" ht="15.75" customHeight="1" s="23">
      <c r="L996" s="20" t="n"/>
      <c r="M996" s="21" t="n"/>
      <c r="P996" s="22" t="n"/>
      <c r="R996" s="22" t="n"/>
      <c r="T996" s="22" t="n"/>
    </row>
    <row r="997" ht="15.75" customHeight="1" s="23">
      <c r="L997" s="20" t="n"/>
      <c r="M997" s="21" t="n"/>
      <c r="P997" s="22" t="n"/>
      <c r="R997" s="22" t="n"/>
      <c r="T997" s="22" t="n"/>
    </row>
    <row r="998" ht="15.75" customHeight="1" s="23">
      <c r="L998" s="20" t="n"/>
      <c r="M998" s="21" t="n"/>
      <c r="P998" s="22" t="n"/>
      <c r="R998" s="22" t="n"/>
      <c r="T998" s="22" t="n"/>
    </row>
    <row r="999" ht="15.75" customHeight="1" s="23">
      <c r="L999" s="20" t="n"/>
      <c r="M999" s="21" t="n"/>
      <c r="P999" s="22" t="n"/>
      <c r="R999" s="22" t="n"/>
      <c r="T999" s="22" t="n"/>
    </row>
    <row r="1000" ht="15.75" customHeight="1" s="23">
      <c r="L1000" s="20" t="n"/>
      <c r="M1000" s="21" t="n"/>
      <c r="P1000" s="22" t="n"/>
      <c r="R1000" s="22" t="n"/>
      <c r="T1000" s="22" t="n"/>
    </row>
  </sheetData>
  <conditionalFormatting sqref="I2:I214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J2:J214">
    <cfRule type="cellIs" priority="3" operator="greaterThan" dxfId="5">
      <formula>0</formula>
    </cfRule>
    <cfRule type="cellIs" priority="4" operator="lessThan" dxfId="6">
      <formula>0</formula>
    </cfRule>
  </conditionalFormatting>
  <dataValidations count="3">
    <dataValidation sqref="A2:A214" showDropDown="1" showInputMessage="0" showErrorMessage="1" allowBlank="1" type="list">
      <formula1>"KOTAKBANK,HDFCBANK,RELIANCE,INFY,BHARTIARTL,M&amp;M,LT,APOLLOHOSP,TATASTEEL,ICICIBANK,SBIN,BSE,AXISBANK,ETERNAL,SHRIRAMFIN,TECHM,POWERGRID,BAJAJ-AUTO,IDEA,TCS,HINDALCO,SUNPHARMA,FORCEMOT,MCX,SBILIFE,NATIONALUM,JIOFIN,BAJFINANCE,SUZLON,POWERINDIA,POLICYBZR,NTP"&amp;"C,ADANIPORTS,ADANIPOWER,GVT&amp;D,TMPV,SAIL,MOTHERSON,COFORGE,WIPRO,HAL,MARUTI,ONGC,HCLTECH,DLF,TATAPOWER,ITC,MAXHEALTH,NYKAA,HINDUNILVR,ULTRACEMCO,ADANIENSOL,RVNL,KALYANKJIL,CGPOWER,PFC,VEDL,COALINDIA,LICI,LTM,VBL,HINDZINC,ADANIENT,LODHA,PERSISTENT,NESTLEIND"&amp;",SWIGGY,TITAN,SOLARINDS,DIXON,WAAREEENER,TVSMOTOR,FORTIS,PATANJALI,BHEL,IRFC,IOC,MAHABANK,RBLBANK,KAYNES,BDL,NMDC,LICHSGFIN,YESBANK,CDSL,HDFCLIFE,ASHOKLEY,ZYDUSLIFE,ABB,ADANIGREEN,AUROPHARMA,CHOLAFIN,BAJAJFINSV,DIVISLAB,LAURUSLABS,EICHERMOT,INDIGO,ASIANPA"&amp;"INT,AMBER,KPITTECH,ICICIGI,VMM,ENRIN,BANKBARODA,CUMMINSIND,TATAELXSI,INOXWIND,DRREDDY,JSWENERGY,INDHOTEL,HAVELLS,BRITANNIA,BPCL,ANGELONE,MAZDOCK,UJJIVANSFB,POLYCAB,SHREECEM,RECLTD,HEROMOTOCO,PNB,MANKIND,PAYTM,MARICO,INDUSINDBK,RADICO,UNIONBANK,MANAPPURAM,"&amp;"CANBK,BOSCHLTD,MOTILALOFS,GLENMARK,COCHINSHIP,MUTHOOTFIN,FEDERALBNK,GRASIM,PRESTIGE,OFSS,MPHASIS,TATACONSUM,BANKINDIA,LTF,HDFCAMC,SONACOMS,IDFCFIRSTB,HYUNDAI,JSWSTEEL,OIL,GMRAIRPORT,PIIND,ABCAPITAL,IREDA,LUPIN,UNITDSPR,HINDPETRO,CAMS,NHPC,DELHIVERY,BHARAT"&amp;"FORG,IEX,CIPLA,BIOCON,COLPAL,INDUSTOWER,PREMIERENE,NAM-INDIA,CROMPTON,PNBHOUSING,TRENT,GODREJCP,JINDALSTEL,PIDILITIND,VOLTAS,KFINTECH,ANANDRATHI,INDIANB,APLAPOLLO,PGEL,JUBLFOOD,TIINDIA,PHOENIXLTD,UPL,CONCOR,NAUKRI,PAGEIND,TORNTPHARM,SRF,AUBANK,DABUR,DMART"&amp;",360ONE,KEI,SUPREMEIND,SIEMENS,GODREJPROP,PETRONET,GODFRYPHLP,BLUESTARCO,MFSL,SBICARD,UNOMINDA,ASTRAL,ICICIPRULI,BAJAJHLDNG,ALKEM,OBEROIRLTY,NBCC,GAIL,BEL,AMBUJACEM,BANDHANBNK,ATHERENERG,SAGILITY"</formula1>
    </dataValidation>
    <dataValidation sqref="C2:J214 L2:L214" showDropDown="1" showInputMessage="0" showErrorMessage="0" allowBlank="1" type="custom">
      <formula1>AND(ISNUMBER(C2),(NOT(OR(NOT(ISERROR(DATEVALUE(C2))), AND(ISNUMBER(C2), LEFT(CELL("format", C2))="D")))))</formula1>
    </dataValidation>
    <dataValidation sqref="B2:B214" showDropDown="1" showInputMessage="0" showErrorMessage="0" allowBlank="1"/>
  </dataValidations>
  <pageMargins left="0.75" right="0.75" top="1" bottom="1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ColWidth="14.43" defaultRowHeight="15" customHeight="1"/>
  <cols>
    <col width="130" customWidth="1" style="23" min="1" max="1"/>
    <col width="8.710000000000001" customWidth="1" style="23" min="2" max="26"/>
  </cols>
  <sheetData>
    <row r="1">
      <c r="A1" s="1" t="inlineStr">
        <is>
          <t>How to use</t>
        </is>
      </c>
    </row>
    <row r="2">
      <c r="A2" s="2" t="inlineStr">
        <is>
          <t>1. Upload this file to Google Drive and open with Google Sheets (File &gt; Save as Google Sheets). GOOGLEFINANCE only calculates in Google Sheets, not Excel.</t>
        </is>
      </c>
    </row>
    <row r="3">
      <c r="A3" s="2" t="inlineStr">
        <is>
          <t>2. Column A (blue text) holds NSE symbols. Starter list of liquid F&amp;O stocks only; paste the full current NSE F&amp;O list and drag formulas B:I down.</t>
        </is>
      </c>
    </row>
    <row r="4">
      <c r="A4" s="2" t="inlineStr">
        <is>
          <t>3. Example row: RELIANCE in A2 with formulas in B2:I2.</t>
        </is>
      </c>
    </row>
    <row r="5">
      <c r="A5" s="2" t="n"/>
    </row>
    <row r="6">
      <c r="A6" s="1" t="inlineStr">
        <is>
          <t>Assumptions / limitations</t>
        </is>
      </c>
    </row>
    <row r="7">
      <c r="A7" s="2" t="inlineStr">
        <is>
          <t>- Close: GOOGLEFINANCE has no live 'close'; it reads today's row of the history table and falls back to CMP.</t>
        </is>
      </c>
    </row>
    <row r="8">
      <c r="A8" s="2" t="inlineStr">
        <is>
          <t>- NSE data is delayed ~15-20 minutes; sheet refreshes about every 1-2 minutes.</t>
        </is>
      </c>
    </row>
    <row r="9">
      <c r="A9" s="2" t="inlineStr">
        <is>
          <t>- ~6 GOOGLEFINANCE calls per stock; the full F&amp;O list may be slow or show Loading... / #N/A for some symbols.</t>
        </is>
      </c>
    </row>
    <row r="10">
      <c r="A10" s="2" t="inlineStr">
        <is>
          <t>- Symbol list is a starter set typed manually; verify against NSE's current F&amp;O list (lot sizes file).</t>
        </is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2026-10-09T08:21:31Z</dcterms:created>
  <dcterms:modified xmlns:dcterms="http://purl.org/dc/terms/" xmlns:xsi="http://www.w3.org/2001/XMLSchema-instance" xsi:type="dcterms:W3CDTF">2026-10-14T10:48:04Z</dcterms:modified>
</cp:coreProperties>
</file>